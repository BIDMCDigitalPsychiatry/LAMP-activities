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e25fd66a2d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imulus Manifest" sheetId="1" r:id="R1783f7f4f01d4e21"/>
    <x:sheet xmlns:r="http://schemas.openxmlformats.org/officeDocument/2006/relationships" name="Protocol" sheetId="2" r:id="Rab58fccdab1048b0"/>
    <x:sheet xmlns:r="http://schemas.openxmlformats.org/officeDocument/2006/relationships" name="QC Summary" sheetId="3" r:id="R1802ec7a470f4f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1"/>
      <x:color rgb="FF1F1F1F"/>
      <x:name val="Aptos"/>
    </x:font>
    <x:font>
      <x:b/>
      <x:sz val="11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vertical="center" wrapText="0"/>
    </x:xf>
    <x:xf numFmtId="0" fontId="3" fillId="3" borderId="1" xfId="0" applyNumberFormat="1" applyFont="1" applyFill="1" applyBorder="1" applyAlignment="1">
      <x:alignment vertical="center" wrapText="0"/>
    </x:xf>
    <x:xf numFmtId="0" fontId="3" fillId="3" borderId="1" xfId="0" applyNumberFormat="1" applyFont="1" applyFill="1" applyBorder="1" applyAlignment="1">
      <x:alignment horizontal="center" vertical="center" wrapText="0"/>
    </x:xf>
    <x:xf numFmtId="0" fontId="3" fillId="3" borderId="2" xfId="0" applyNumberFormat="1" applyFont="1" applyFill="1" applyBorder="1" applyAlignment="1">
      <x:alignment vertical="center" wrapText="0"/>
    </x:xf>
    <x:xf numFmtId="0" fontId="3" fillId="3" borderId="2" xfId="0" applyNumberFormat="1" applyFont="1" applyFill="1" applyBorder="1" applyAlignment="1">
      <x:alignment horizontal="center" vertical="center" wrapText="0"/>
    </x:xf>
    <x:xf numFmtId="0" fontId="3" fillId="4" borderId="2" xfId="0" applyNumberFormat="1" applyFont="1" applyFill="1" applyBorder="1" applyAlignment="1">
      <x:alignment vertical="center" wrapText="0"/>
    </x:xf>
    <x:xf numFmtId="0" fontId="3" fillId="4" borderId="2" xfId="0" applyNumberFormat="1" applyFont="1" applyFill="1" applyBorder="1" applyAlignment="1">
      <x:alignment horizontal="center" vertical="center" wrapText="0"/>
    </x:xf>
    <x:xf numFmtId="0" fontId="3" fillId="4" borderId="3" xfId="0" applyNumberFormat="1" applyFont="1" applyFill="1" applyBorder="1" applyAlignment="1">
      <x:alignment vertical="center" wrapText="0"/>
    </x:xf>
    <x:xf numFmtId="0" fontId="3" fillId="4" borderId="3" xfId="0" applyNumberFormat="1" applyFont="1" applyFill="1" applyBorder="1" applyAlignment="1">
      <x:alignment horizontal="center" vertical="center" wrapText="0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8" fillId="5" borderId="1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8" fillId="5" borderId="1" xfId="0" applyNumberFormat="1" applyFont="1" applyFill="1" applyBorder="1" applyAlignment="1">
      <x:alignment vertical="top"/>
    </x:xf>
    <x:xf numFmtId="0" fontId="7" fillId="0" borderId="2" xfId="0" applyNumberFormat="1" applyFont="1" applyFill="1" applyBorder="1" applyAlignment="1">
      <x:alignment vertical="top"/>
    </x:xf>
    <x:xf numFmtId="0" fontId="7" fillId="0" borderId="3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8" fillId="5" borderId="1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horizontal="right"/>
    </x:xf>
    <x:xf numFmtId="0" fontId="7" fillId="0" borderId="3" xfId="0" applyNumberFormat="1" applyFont="1" applyFill="1" applyBorder="1" applyAlignment="1">
      <x:alignment horizontal="right"/>
    </x:xf>
    <x:xf numFmtId="0" fontId="9" fillId="0" borderId="3" xfId="0" applyNumberFormat="1" applyFont="1" applyFill="1" applyBorder="1"/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8000a483484677" /><Relationship Type="http://schemas.openxmlformats.org/officeDocument/2006/relationships/theme" Target="/xl/theme/theme1.xml" Id="R0deefaa277234402" /><Relationship Type="http://schemas.openxmlformats.org/officeDocument/2006/relationships/sharedStrings" Target="/xl/sharedStrings.xml" Id="Rcbc94acaceb24598" /><Relationship Type="http://schemas.openxmlformats.org/officeDocument/2006/relationships/worksheet" Target="/xl/worksheets/sheet1.xml" Id="R1783f7f4f01d4e21" /><Relationship Type="http://schemas.openxmlformats.org/officeDocument/2006/relationships/worksheet" Target="/xl/worksheets/sheet2.xml" Id="Rab58fccdab1048b0" /><Relationship Type="http://schemas.openxmlformats.org/officeDocument/2006/relationships/worksheet" Target="/xl/worksheets/sheet3.xml" Id="R1802ec7a470f4f34" /></Relationships>
</file>

<file path=xl/tables/table1.xml><?xml version="1.0" encoding="utf-8"?>
<x:table xmlns:x="http://schemas.openxmlformats.org/spreadsheetml/2006/main" id="1" name="StimulusManifestTable" displayName="StimulusManifestTable" ref="A1:N73" headerRowCount="1" totalsRowCount="0" totalsRowShown="0">
  <x:autoFilter ref="A1:N73"/>
  <x:tableColumns count="14">
    <x:tableColumn id="1" name="Stimulus Version"/>
    <x:tableColumn id="2" name="Month"/>
    <x:tableColumn id="3" name="Trial"/>
    <x:tableColumn id="4" name="Source Folder"/>
    <x:tableColumn id="5" name="Primary Image (01)"/>
    <x:tableColumn id="6" name="Cued Recall Image (03)"/>
    <x:tableColumn id="7" name="Distractor 1 (04)"/>
    <x:tableColumn id="8" name="Distractor 2 (04)"/>
    <x:tableColumn id="9" name="Distractor 3 (04)"/>
    <x:tableColumn id="10" name="Distractor 4 (04)"/>
    <x:tableColumn id="11" name="Recognition Choices"/>
    <x:tableColumn id="12" name="Files Present"/>
    <x:tableColumn id="13" name="QC Status"/>
    <x:tableColumn id="14" name="QC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554e6da4e341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" hidden="0" customWidth="1"/>
    <x:col min="3" max="3" width="8" hidden="0" customWidth="1"/>
    <x:col min="4" max="4" width="20" hidden="0" customWidth="1"/>
    <x:col min="5" max="5" width="34" hidden="0" customWidth="1"/>
    <x:col min="6" max="6" width="34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  <x:col min="11" max="11" width="18" hidden="0" customWidth="1"/>
    <x:col min="12" max="12" width="14" hidden="0" customWidth="1"/>
    <x:col min="13" max="13" width="12" hidden="0" customWidth="1"/>
    <x:col min="14" max="14" width="38" hidden="0" customWidth="1"/>
  </x:cols>
  <x:sheetData>
    <x:row r="1" ht="34" customHeight="1">
      <x:c r="A1" s="22" t="str">
        <x:v>Stimulus Version</x:v>
      </x:c>
      <x:c r="B1" s="22" t="str">
        <x:v>Month</x:v>
      </x:c>
      <x:c r="C1" s="22" t="str">
        <x:v>Trial</x:v>
      </x:c>
      <x:c r="D1" s="22" t="str">
        <x:v>Source Folder</x:v>
      </x:c>
      <x:c r="E1" s="22" t="str">
        <x:v>Primary Image (01)</x:v>
      </x:c>
      <x:c r="F1" s="22" t="str">
        <x:v>Cued Recall Image (03)</x:v>
      </x:c>
      <x:c r="G1" s="22" t="str">
        <x:v>Distractor 1 (04)</x:v>
      </x:c>
      <x:c r="H1" s="22" t="str">
        <x:v>Distractor 2 (04)</x:v>
      </x:c>
      <x:c r="I1" s="22" t="str">
        <x:v>Distractor 3 (04)</x:v>
      </x:c>
      <x:c r="J1" s="22" t="str">
        <x:v>Distractor 4 (04)</x:v>
      </x:c>
      <x:c r="K1" s="22" t="str">
        <x:v>Recognition Choices</x:v>
      </x:c>
      <x:c r="L1" s="22" t="str">
        <x:v>Files Present</x:v>
      </x:c>
      <x:c r="M1" s="22" t="str">
        <x:v>QC Status</x:v>
      </x:c>
      <x:c r="N1" s="22" t="str">
        <x:v>QC Notes</x:v>
      </x:c>
    </x:row>
    <x:row r="2" ht="24" customHeight="1">
      <x:c r="A2" s="23" t="str">
        <x:v>v2.0-draft</x:v>
      </x:c>
      <x:c r="B2" s="24" t="n">
        <x:v>1</x:v>
      </x:c>
      <x:c r="C2" s="24" t="n">
        <x:v>1</x:v>
      </x:c>
      <x:c r="D2" s="23" t="str">
        <x:v>Canyon</x:v>
      </x:c>
      <x:c r="E2" s="23" t="str">
        <x:v>01-canyon door.jpeg</x:v>
      </x:c>
      <x:c r="F2" s="23" t="str">
        <x:v>03-canyon.jpeg</x:v>
      </x:c>
      <x:c r="G2" s="23" t="str">
        <x:v>04-canyon bookshelf.png</x:v>
      </x:c>
      <x:c r="H2" s="23" t="str">
        <x:v>04-canyon door awning.png</x:v>
      </x:c>
      <x:c r="I2" s="23" t="str">
        <x:v>04-canyon fireplace awning.jpg</x:v>
      </x:c>
      <x:c r="J2" s="23" t="str">
        <x:v>04-canyon fireplace.png</x:v>
      </x:c>
      <x:c r="K2" s="24" t="n">
        <x:f>IF(D2="",0,1+COUNTA(G2:J2))</x:f>
        <x:v>5</x:v>
      </x:c>
      <x:c r="L2" s="24" t="n">
        <x:f>IF(D2="",0,COUNTA(E2:J2))</x:f>
        <x:v>6</x:v>
      </x:c>
      <x:c r="M2" s="24" t="str">
        <x:f>IF(D2="","Reserved",IF(AND(E2&lt;&gt;"",F2&lt;&gt;"",COUNTA(G2:J2)=4,K2=5,L2=6),"Ready","Review"))</x:f>
        <x:v>Ready</x:v>
      </x:c>
      <x:c r="N2" s="31" t="str"/>
    </x:row>
    <x:row r="3" ht="24" customHeight="1">
      <x:c r="A3" s="25" t="str">
        <x:v>v2.0-draft</x:v>
      </x:c>
      <x:c r="B3" s="26" t="n">
        <x:v>1</x:v>
      </x:c>
      <x:c r="C3" s="26" t="n">
        <x:v>2</x:v>
      </x:c>
      <x:c r="D3" s="25" t="str">
        <x:v>Dog</x:v>
      </x:c>
      <x:c r="E3" s="25" t="str">
        <x:v>01-Dog-Hat.JPG</x:v>
      </x:c>
      <x:c r="F3" s="25" t="str">
        <x:v>03-Dog.JPG</x:v>
      </x:c>
      <x:c r="G3" s="25" t="str">
        <x:v>04-Dog-Bowl.JPG</x:v>
      </x:c>
      <x:c r="H3" s="25" t="str">
        <x:v>04-Dog-Hat-saddle.JPG</x:v>
      </x:c>
      <x:c r="I3" s="25" t="str">
        <x:v>04-Dog-Sunglasses-saddle.JPG</x:v>
      </x:c>
      <x:c r="J3" s="25" t="str">
        <x:v>04-Dog-Sunglasses.JPG</x:v>
      </x:c>
      <x:c r="K3" s="26" t="n">
        <x:f>IF(D3="",0,1+COUNTA(G3:J3))</x:f>
        <x:v>5</x:v>
      </x:c>
      <x:c r="L3" s="26" t="n">
        <x:f>IF(D3="",0,COUNTA(E3:J3))</x:f>
        <x:v>6</x:v>
      </x:c>
      <x:c r="M3" s="26" t="str">
        <x:f>IF(D3="","Reserved",IF(AND(E3&lt;&gt;"",F3&lt;&gt;"",COUNTA(G3:J3)=4,K3=5,L3=6),"Ready","Review"))</x:f>
        <x:v>Ready</x:v>
      </x:c>
      <x:c r="N3" s="32" t="str"/>
    </x:row>
    <x:row r="4" ht="24" customHeight="1">
      <x:c r="A4" s="25" t="str">
        <x:v>v2.0-draft</x:v>
      </x:c>
      <x:c r="B4" s="26" t="n">
        <x:v>1</x:v>
      </x:c>
      <x:c r="C4" s="26" t="n">
        <x:v>3</x:v>
      </x:c>
      <x:c r="D4" s="25" t="str">
        <x:v>Grater</x:v>
      </x:c>
      <x:c r="E4" s="25" t="str">
        <x:v>01-Grater_Lightbulb.JPG</x:v>
      </x:c>
      <x:c r="F4" s="25" t="str">
        <x:v>03-Grater.JPG</x:v>
      </x:c>
      <x:c r="G4" s="25" t="str">
        <x:v>04-Grater cheese.JPG</x:v>
      </x:c>
      <x:c r="H4" s="25" t="str">
        <x:v>04-Grater_Lightbulb-cheese.JPG</x:v>
      </x:c>
      <x:c r="I4" s="25" t="str">
        <x:v>04-Grater_Pinecone cheese.JPG</x:v>
      </x:c>
      <x:c r="J4" s="25" t="str">
        <x:v>04-Grater_Pinecone.JPG</x:v>
      </x:c>
      <x:c r="K4" s="26" t="n">
        <x:f>IF(D4="",0,1+COUNTA(G4:J4))</x:f>
        <x:v>5</x:v>
      </x:c>
      <x:c r="L4" s="26" t="n">
        <x:f>IF(D4="",0,COUNTA(E4:J4))</x:f>
        <x:v>6</x:v>
      </x:c>
      <x:c r="M4" s="26" t="str">
        <x:f>IF(D4="","Reserved",IF(AND(E4&lt;&gt;"",F4&lt;&gt;"",COUNTA(G4:J4)=4,K4=5,L4=6),"Ready","Review"))</x:f>
        <x:v>Ready</x:v>
      </x:c>
      <x:c r="N4" s="32" t="str"/>
    </x:row>
    <x:row r="5" ht="24" customHeight="1">
      <x:c r="A5" s="25" t="str">
        <x:v>v2.0-draft</x:v>
      </x:c>
      <x:c r="B5" s="26" t="n">
        <x:v>1</x:v>
      </x:c>
      <x:c r="C5" s="26" t="n">
        <x:v>4</x:v>
      </x:c>
      <x:c r="D5" s="25" t="str">
        <x:v>Chess</x:v>
      </x:c>
      <x:c r="E5" s="25" t="str">
        <x:v>01-Chess-Calculator.JPG</x:v>
      </x:c>
      <x:c r="F5" s="25" t="str">
        <x:v>03-Chess.JPG</x:v>
      </x:c>
      <x:c r="G5" s="25" t="str">
        <x:v>04-Chess-Apple dino.JPG</x:v>
      </x:c>
      <x:c r="H5" s="25" t="str">
        <x:v>04-Chess-Apple.JPG</x:v>
      </x:c>
      <x:c r="I5" s="25" t="str">
        <x:v>04-Chess-Calculator_Dino.JPG</x:v>
      </x:c>
      <x:c r="J5" s="25" t="str">
        <x:v>04-Chess-Calculator_timer.JPG</x:v>
      </x:c>
      <x:c r="K5" s="26" t="n">
        <x:f>IF(D5="",0,1+COUNTA(G5:J5))</x:f>
        <x:v>5</x:v>
      </x:c>
      <x:c r="L5" s="26" t="n">
        <x:f>IF(D5="",0,COUNTA(E5:J5))</x:f>
        <x:v>6</x:v>
      </x:c>
      <x:c r="M5" s="26" t="str">
        <x:f>IF(D5="","Reserved",IF(AND(E5&lt;&gt;"",F5&lt;&gt;"",COUNTA(G5:J5)=4,K5=5,L5=6),"Ready","Review"))</x:f>
        <x:v>Ready</x:v>
      </x:c>
      <x:c r="N5" s="32" t="str"/>
    </x:row>
    <x:row r="6" ht="24" customHeight="1">
      <x:c r="A6" s="25" t="str">
        <x:v>v2.0-draft</x:v>
      </x:c>
      <x:c r="B6" s="26" t="n">
        <x:v>1</x:v>
      </x:c>
      <x:c r="C6" s="26" t="n">
        <x:v>5</x:v>
      </x:c>
      <x:c r="D6" s="25" t="str">
        <x:v>FireExtin</x:v>
      </x:c>
      <x:c r="E6" s="25" t="str">
        <x:v>01-FireExt_Scarf.JPG</x:v>
      </x:c>
      <x:c r="F6" s="25" t="str">
        <x:v>03-FireExt.JPG</x:v>
      </x:c>
      <x:c r="G6" s="25" t="str">
        <x:v>04-FireExt_Belt-wrap.JPG</x:v>
      </x:c>
      <x:c r="H6" s="25" t="str">
        <x:v>04-FireExt_Belt.JPG</x:v>
      </x:c>
      <x:c r="I6" s="25" t="str">
        <x:v>04-FireExt_fireext.JPG</x:v>
      </x:c>
      <x:c r="J6" s="25" t="str">
        <x:v>04-FireExt_Scarf-wrap.JPG</x:v>
      </x:c>
      <x:c r="K6" s="26" t="n">
        <x:f>IF(D6="",0,1+COUNTA(G6:J6))</x:f>
        <x:v>5</x:v>
      </x:c>
      <x:c r="L6" s="26" t="n">
        <x:f>IF(D6="",0,COUNTA(E6:J6))</x:f>
        <x:v>6</x:v>
      </x:c>
      <x:c r="M6" s="26" t="str">
        <x:f>IF(D6="","Reserved",IF(AND(E6&lt;&gt;"",F6&lt;&gt;"",COUNTA(G6:J6)=4,K6=5,L6=6),"Ready","Review"))</x:f>
        <x:v>Ready</x:v>
      </x:c>
      <x:c r="N6" s="32" t="str"/>
    </x:row>
    <x:row r="7" ht="24" customHeight="1">
      <x:c r="A7" s="25" t="str">
        <x:v>v2.0-draft</x:v>
      </x:c>
      <x:c r="B7" s="26" t="n">
        <x:v>1</x:v>
      </x:c>
      <x:c r="C7" s="26" t="n">
        <x:v>6</x:v>
      </x:c>
      <x:c r="D7" s="25" t="str">
        <x:v>Plant</x:v>
      </x:c>
      <x:c r="E7" s="25" t="str">
        <x:v>01-Plant-Rabbit.JPG</x:v>
      </x:c>
      <x:c r="F7" s="25" t="str">
        <x:v>03-Plant.JPG</x:v>
      </x:c>
      <x:c r="G7" s="25" t="str">
        <x:v>04-Plant-bird.jpg</x:v>
      </x:c>
      <x:c r="H7" s="25" t="str">
        <x:v>04-Plant-Cup drill.JPG</x:v>
      </x:c>
      <x:c r="I7" s="25" t="str">
        <x:v>04-Plant-Cup.JPG</x:v>
      </x:c>
      <x:c r="J7" s="25" t="str">
        <x:v>04-Plant-Rabbit-drill.JPG</x:v>
      </x:c>
      <x:c r="K7" s="26" t="n">
        <x:f>IF(D7="",0,1+COUNTA(G7:J7))</x:f>
        <x:v>5</x:v>
      </x:c>
      <x:c r="L7" s="26" t="n">
        <x:f>IF(D7="",0,COUNTA(E7:J7))</x:f>
        <x:v>6</x:v>
      </x:c>
      <x:c r="M7" s="26" t="str">
        <x:f>IF(D7="","Reserved",IF(AND(E7&lt;&gt;"",F7&lt;&gt;"",COUNTA(G7:J7)=4,K7=5,L7=6),"Ready","Review"))</x:f>
        <x:v>Ready</x:v>
      </x:c>
      <x:c r="N7" s="32" t="str"/>
    </x:row>
    <x:row r="8" ht="24" customHeight="1">
      <x:c r="A8" s="25" t="str">
        <x:v>v2.0-draft</x:v>
      </x:c>
      <x:c r="B8" s="26" t="n">
        <x:v>2</x:v>
      </x:c>
      <x:c r="C8" s="26" t="n">
        <x:v>1</x:v>
      </x:c>
      <x:c r="D8" s="25" t="str">
        <x:v>waterfall</x:v>
      </x:c>
      <x:c r="E8" s="25" t="str">
        <x:v>01-temple waterfall.jpg</x:v>
      </x:c>
      <x:c r="F8" s="25" t="str">
        <x:v>03-big falls.jpeg</x:v>
      </x:c>
      <x:c r="G8" s="25" t="str">
        <x:v>04-bridge waterfall.jpg</x:v>
      </x:c>
      <x:c r="H8" s="25" t="str">
        <x:v>04-temple waterfall gorila.jpg</x:v>
      </x:c>
      <x:c r="I8" s="25" t="str">
        <x:v>04-truck waterfall gorilla.jpg</x:v>
      </x:c>
      <x:c r="J8" s="25" t="str">
        <x:v>04-truck waterfall.jpg</x:v>
      </x:c>
      <x:c r="K8" s="26" t="n">
        <x:f>IF(D8="",0,1+COUNTA(G8:J8))</x:f>
        <x:v>5</x:v>
      </x:c>
      <x:c r="L8" s="26" t="n">
        <x:f>IF(D8="",0,COUNTA(E8:J8))</x:f>
        <x:v>6</x:v>
      </x:c>
      <x:c r="M8" s="26" t="str">
        <x:f>IF(D8="","Reserved",IF(AND(E8&lt;&gt;"",F8&lt;&gt;"",COUNTA(G8:J8)=4,K8=5,L8=6),"Ready","Review"))</x:f>
        <x:v>Ready</x:v>
      </x:c>
      <x:c r="N8" s="32" t="str"/>
    </x:row>
    <x:row r="9" ht="24" customHeight="1">
      <x:c r="A9" s="25" t="str">
        <x:v>v2.0-draft</x:v>
      </x:c>
      <x:c r="B9" s="26" t="n">
        <x:v>2</x:v>
      </x:c>
      <x:c r="C9" s="26" t="n">
        <x:v>2</x:v>
      </x:c>
      <x:c r="D9" s="25" t="str">
        <x:v>Birdcage</x:v>
      </x:c>
      <x:c r="E9" s="25" t="str">
        <x:v>01-Birdcage-Car.JPG</x:v>
      </x:c>
      <x:c r="F9" s="25" t="str">
        <x:v>03-Birdcage.JPG</x:v>
      </x:c>
      <x:c r="G9" s="25" t="str">
        <x:v>04-Birdcage-bird.JPG</x:v>
      </x:c>
      <x:c r="H9" s="25" t="str">
        <x:v>04-Birdcage-Car_building.JPG</x:v>
      </x:c>
      <x:c r="I9" s="25" t="str">
        <x:v>04-Birdcage-Flower building.JPG</x:v>
      </x:c>
      <x:c r="J9" s="25" t="str">
        <x:v>04-Birdcage-Flower.JPG</x:v>
      </x:c>
      <x:c r="K9" s="26" t="n">
        <x:f>IF(D9="",0,1+COUNTA(G9:J9))</x:f>
        <x:v>5</x:v>
      </x:c>
      <x:c r="L9" s="26" t="n">
        <x:f>IF(D9="",0,COUNTA(E9:J9))</x:f>
        <x:v>6</x:v>
      </x:c>
      <x:c r="M9" s="26" t="str">
        <x:f>IF(D9="","Reserved",IF(AND(E9&lt;&gt;"",F9&lt;&gt;"",COUNTA(G9:J9)=4,K9=5,L9=6),"Ready","Review"))</x:f>
        <x:v>Ready</x:v>
      </x:c>
      <x:c r="N9" s="32" t="str"/>
    </x:row>
    <x:row r="10" ht="24" customHeight="1">
      <x:c r="A10" s="25" t="str">
        <x:v>v2.0-draft</x:v>
      </x:c>
      <x:c r="B10" s="26" t="n">
        <x:v>2</x:v>
      </x:c>
      <x:c r="C10" s="26" t="n">
        <x:v>3</x:v>
      </x:c>
      <x:c r="D10" s="25" t="str">
        <x:v>Microwave</x:v>
      </x:c>
      <x:c r="E10" s="25" t="str">
        <x:v>01-Microwave_Eggbeater.JPG</x:v>
      </x:c>
      <x:c r="F10" s="25" t="str">
        <x:v>03-Microwave.JPG</x:v>
      </x:c>
      <x:c r="G10" s="25" t="str">
        <x:v>04-Microwave_cup.JPG</x:v>
      </x:c>
      <x:c r="H10" s="25" t="str">
        <x:v>04-Microwave_Eggbeater-eggs.JPG</x:v>
      </x:c>
      <x:c r="I10" s="25" t="str">
        <x:v>04-Microwave_ipad eggs.JPG</x:v>
      </x:c>
      <x:c r="J10" s="25" t="str">
        <x:v>04-Microwave_ipad.JPG</x:v>
      </x:c>
      <x:c r="K10" s="26" t="n">
        <x:f>IF(D10="",0,1+COUNTA(G10:J10))</x:f>
        <x:v>5</x:v>
      </x:c>
      <x:c r="L10" s="26" t="n">
        <x:f>IF(D10="",0,COUNTA(E10:J10))</x:f>
        <x:v>6</x:v>
      </x:c>
      <x:c r="M10" s="26" t="str">
        <x:f>IF(D10="","Reserved",IF(AND(E10&lt;&gt;"",F10&lt;&gt;"",COUNTA(G10:J10)=4,K10=5,L10=6),"Ready","Review"))</x:f>
        <x:v>Ready</x:v>
      </x:c>
      <x:c r="N10" s="32" t="str"/>
    </x:row>
    <x:row r="11" ht="24" customHeight="1">
      <x:c r="A11" s="25" t="str">
        <x:v>v2.0-draft</x:v>
      </x:c>
      <x:c r="B11" s="26" t="n">
        <x:v>2</x:v>
      </x:c>
      <x:c r="C11" s="26" t="n">
        <x:v>4</x:v>
      </x:c>
      <x:c r="D11" s="25" t="str">
        <x:v>Racquet</x:v>
      </x:c>
      <x:c r="E11" s="25" t="str">
        <x:v>01-Racquet-Baseball.JPG</x:v>
      </x:c>
      <x:c r="F11" s="25" t="str">
        <x:v>03-Racquet.JPG</x:v>
      </x:c>
      <x:c r="G11" s="25" t="str">
        <x:v>04-Racquet cover.JPG</x:v>
      </x:c>
      <x:c r="H11" s="25" t="str">
        <x:v>04-Racquet-Baseball-tennis.JPG</x:v>
      </x:c>
      <x:c r="I11" s="25" t="str">
        <x:v>04-Racquet-chalk tennis.JPG</x:v>
      </x:c>
      <x:c r="J11" s="25" t="str">
        <x:v>04-Racquet-chalk.JPG</x:v>
      </x:c>
      <x:c r="K11" s="26" t="n">
        <x:f>IF(D11="",0,1+COUNTA(G11:J11))</x:f>
        <x:v>5</x:v>
      </x:c>
      <x:c r="L11" s="26" t="n">
        <x:f>IF(D11="",0,COUNTA(E11:J11))</x:f>
        <x:v>6</x:v>
      </x:c>
      <x:c r="M11" s="26" t="str">
        <x:f>IF(D11="","Reserved",IF(AND(E11&lt;&gt;"",F11&lt;&gt;"",COUNTA(G11:J11)=4,K11=5,L11=6),"Ready","Review"))</x:f>
        <x:v>Ready</x:v>
      </x:c>
      <x:c r="N11" s="32" t="str"/>
    </x:row>
    <x:row r="12" ht="24" customHeight="1">
      <x:c r="A12" s="25" t="str">
        <x:v>v2.0-draft</x:v>
      </x:c>
      <x:c r="B12" s="26" t="n">
        <x:v>2</x:v>
      </x:c>
      <x:c r="C12" s="26" t="n">
        <x:v>5</x:v>
      </x:c>
      <x:c r="D12" s="25" t="str">
        <x:v>Chair</x:v>
      </x:c>
      <x:c r="E12" s="25" t="str">
        <x:v>01-Monkey Chair.jpg</x:v>
      </x:c>
      <x:c r="F12" s="25" t="str">
        <x:v>03-chair.jpg</x:v>
      </x:c>
      <x:c r="G12" s="25" t="str">
        <x:v>04- chair stuffed dog.jpg</x:v>
      </x:c>
      <x:c r="H12" s="25" t="str">
        <x:v>04-Chair fan toy.jpg</x:v>
      </x:c>
      <x:c r="I12" s="25" t="str">
        <x:v>04-Chair fan.jpg</x:v>
      </x:c>
      <x:c r="J12" s="25" t="str">
        <x:v>04-monkey chair toy.jpg</x:v>
      </x:c>
      <x:c r="K12" s="26" t="n">
        <x:f>IF(D12="",0,1+COUNTA(G12:J12))</x:f>
        <x:v>5</x:v>
      </x:c>
      <x:c r="L12" s="26" t="n">
        <x:f>IF(D12="",0,COUNTA(E12:J12))</x:f>
        <x:v>6</x:v>
      </x:c>
      <x:c r="M12" s="26" t="str">
        <x:f>IF(D12="","Reserved",IF(AND(E12&lt;&gt;"",F12&lt;&gt;"",COUNTA(G12:J12)=4,K12=5,L12=6),"Ready","Review"))</x:f>
        <x:v>Ready</x:v>
      </x:c>
      <x:c r="N12" s="32" t="str"/>
    </x:row>
    <x:row r="13" ht="24" customHeight="1">
      <x:c r="A13" s="25" t="str">
        <x:v>v2.0-draft</x:v>
      </x:c>
      <x:c r="B13" s="26" t="n">
        <x:v>2</x:v>
      </x:c>
      <x:c r="C13" s="26" t="n">
        <x:v>6</x:v>
      </x:c>
      <x:c r="D13" s="25" t="str">
        <x:v>Pocketknife</x:v>
      </x:c>
      <x:c r="E13" s="25" t="str">
        <x:v>01-Pocketknife_Umbrella.JPG</x:v>
      </x:c>
      <x:c r="F13" s="25" t="str">
        <x:v>03-Pocketknife.JPG</x:v>
      </x:c>
      <x:c r="G13" s="25" t="str">
        <x:v>04-Pocketknife_glue.JPG</x:v>
      </x:c>
      <x:c r="H13" s="25" t="str">
        <x:v>04-Pocketknife_Pineneedles cocktail.JPG</x:v>
      </x:c>
      <x:c r="I13" s="25" t="str">
        <x:v>04-Pocketknife_Pineneedles.JPG</x:v>
      </x:c>
      <x:c r="J13" s="25" t="str">
        <x:v>04-Pocketknife_Umbrella-cocktail.JPG</x:v>
      </x:c>
      <x:c r="K13" s="26" t="n">
        <x:f>IF(D13="",0,1+COUNTA(G13:J13))</x:f>
        <x:v>5</x:v>
      </x:c>
      <x:c r="L13" s="26" t="n">
        <x:f>IF(D13="",0,COUNTA(E13:J13))</x:f>
        <x:v>6</x:v>
      </x:c>
      <x:c r="M13" s="26" t="str">
        <x:f>IF(D13="","Reserved",IF(AND(E13&lt;&gt;"",F13&lt;&gt;"",COUNTA(G13:J13)=4,K13=5,L13=6),"Ready","Review"))</x:f>
        <x:v>Ready</x:v>
      </x:c>
      <x:c r="N13" s="32" t="str"/>
    </x:row>
    <x:row r="14" ht="24" customHeight="1">
      <x:c r="A14" s="25" t="str">
        <x:v>v2.0-draft</x:v>
      </x:c>
      <x:c r="B14" s="26" t="n">
        <x:v>3</x:v>
      </x:c>
      <x:c r="C14" s="26" t="n">
        <x:v>1</x:v>
      </x:c>
      <x:c r="D14" s="25" t="str">
        <x:v>Cherry Trees</x:v>
      </x:c>
      <x:c r="E14" s="25" t="str">
        <x:v>01-Moose cherry tree.jpg</x:v>
      </x:c>
      <x:c r="F14" s="25" t="str">
        <x:v>03-cherry tree.JPG</x:v>
      </x:c>
      <x:c r="G14" s="25" t="str">
        <x:v>04-cherry tree dog walkers.jpg</x:v>
      </x:c>
      <x:c r="H14" s="25" t="str">
        <x:v>04-cherry tree steamer playset.jpg</x:v>
      </x:c>
      <x:c r="I14" s="25" t="str">
        <x:v>04-cherry tree steamer trunk.jpg</x:v>
      </x:c>
      <x:c r="J14" s="25" t="str">
        <x:v>04-moose cherry tree playset.jpg</x:v>
      </x:c>
      <x:c r="K14" s="26" t="n">
        <x:f>IF(D14="",0,1+COUNTA(G14:J14))</x:f>
        <x:v>5</x:v>
      </x:c>
      <x:c r="L14" s="26" t="n">
        <x:f>IF(D14="",0,COUNTA(E14:J14))</x:f>
        <x:v>6</x:v>
      </x:c>
      <x:c r="M14" s="26" t="str">
        <x:f>IF(D14="","Reserved",IF(AND(E14&lt;&gt;"",F14&lt;&gt;"",COUNTA(G14:J14)=4,K14=5,L14=6),"Ready","Review"))</x:f>
        <x:v>Ready</x:v>
      </x:c>
      <x:c r="N14" s="32" t="str"/>
    </x:row>
    <x:row r="15" ht="24" customHeight="1">
      <x:c r="A15" s="25" t="str">
        <x:v>v2.0-draft</x:v>
      </x:c>
      <x:c r="B15" s="26" t="n">
        <x:v>3</x:v>
      </x:c>
      <x:c r="C15" s="26" t="n">
        <x:v>2</x:v>
      </x:c>
      <x:c r="D15" s="25" t="str">
        <x:v>Dogbowl</x:v>
      </x:c>
      <x:c r="E15" s="25" t="str">
        <x:v>01-Dogbowl-Pingpong.JPG</x:v>
      </x:c>
      <x:c r="F15" s="25" t="str">
        <x:v>03-Dogbowl.JPG</x:v>
      </x:c>
      <x:c r="G15" s="25" t="str">
        <x:v>04-Dogbowl-kibble.JPG</x:v>
      </x:c>
      <x:c r="H15" s="25" t="str">
        <x:v>04-Dogbowl-Pingpoing_octapus.JPG</x:v>
      </x:c>
      <x:c r="I15" s="25" t="str">
        <x:v>04-Dogbowl-Rope octopus.JPG</x:v>
      </x:c>
      <x:c r="J15" s="25" t="str">
        <x:v>04-Dogbowl-Rope.JPG</x:v>
      </x:c>
      <x:c r="K15" s="26" t="n">
        <x:f>IF(D15="",0,1+COUNTA(G15:J15))</x:f>
        <x:v>5</x:v>
      </x:c>
      <x:c r="L15" s="26" t="n">
        <x:f>IF(D15="",0,COUNTA(E15:J15))</x:f>
        <x:v>6</x:v>
      </x:c>
      <x:c r="M15" s="26" t="str">
        <x:f>IF(D15="","Reserved",IF(AND(E15&lt;&gt;"",F15&lt;&gt;"",COUNTA(G15:J15)=4,K15=5,L15=6),"Ready","Review"))</x:f>
        <x:v>Ready</x:v>
      </x:c>
      <x:c r="N15" s="32" t="str"/>
    </x:row>
    <x:row r="16" ht="24" customHeight="1">
      <x:c r="A16" s="25" t="str">
        <x:v>v2.0-draft</x:v>
      </x:c>
      <x:c r="B16" s="26" t="n">
        <x:v>3</x:v>
      </x:c>
      <x:c r="C16" s="26" t="n">
        <x:v>3</x:v>
      </x:c>
      <x:c r="D16" s="25" t="str">
        <x:v>Mixer</x:v>
      </x:c>
      <x:c r="E16" s="25" t="str">
        <x:v>01-Mixer-Tennis.JPG</x:v>
      </x:c>
      <x:c r="F16" s="25" t="str">
        <x:v>03-Mixer.JPG</x:v>
      </x:c>
      <x:c r="G16" s="25" t="str">
        <x:v>04-Mixer-Battery grass.JPG</x:v>
      </x:c>
      <x:c r="H16" s="25" t="str">
        <x:v>04-Mixer-Battery.JPG</x:v>
      </x:c>
      <x:c r="I16" s="25" t="str">
        <x:v>04-Mixer-berries.JPG</x:v>
      </x:c>
      <x:c r="J16" s="25" t="str">
        <x:v>04-Mixer-Tennis-grass.JPG</x:v>
      </x:c>
      <x:c r="K16" s="26" t="n">
        <x:f>IF(D16="",0,1+COUNTA(G16:J16))</x:f>
        <x:v>5</x:v>
      </x:c>
      <x:c r="L16" s="26" t="n">
        <x:f>IF(D16="",0,COUNTA(E16:J16))</x:f>
        <x:v>6</x:v>
      </x:c>
      <x:c r="M16" s="26" t="str">
        <x:f>IF(D16="","Reserved",IF(AND(E16&lt;&gt;"",F16&lt;&gt;"",COUNTA(G16:J16)=4,K16=5,L16=6),"Ready","Review"))</x:f>
        <x:v>Ready</x:v>
      </x:c>
      <x:c r="N16" s="32" t="str"/>
    </x:row>
    <x:row r="17" ht="24" customHeight="1">
      <x:c r="A17" s="25" t="str">
        <x:v>v2.0-draft</x:v>
      </x:c>
      <x:c r="B17" s="26" t="n">
        <x:v>3</x:v>
      </x:c>
      <x:c r="C17" s="26" t="n">
        <x:v>4</x:v>
      </x:c>
      <x:c r="D17" s="25" t="str">
        <x:v>Goal</x:v>
      </x:c>
      <x:c r="E17" s="25" t="str">
        <x:v>01-Goal-Bike.JPG</x:v>
      </x:c>
      <x:c r="F17" s="25" t="str">
        <x:v>03-Goal.JPG</x:v>
      </x:c>
      <x:c r="G17" s="25" t="str">
        <x:v>04-Goal balls.jpg</x:v>
      </x:c>
      <x:c r="H17" s="25" t="str">
        <x:v>04-Goal-Bike-goalie.JPG</x:v>
      </x:c>
      <x:c r="I17" s="25" t="str">
        <x:v>04-Goal-Other.JPG</x:v>
      </x:c>
      <x:c r="J17" s="25" t="str">
        <x:v>04-Goal-trash-goalie.JPG</x:v>
      </x:c>
      <x:c r="K17" s="26" t="n">
        <x:f>IF(D17="",0,1+COUNTA(G17:J17))</x:f>
        <x:v>5</x:v>
      </x:c>
      <x:c r="L17" s="26" t="n">
        <x:f>IF(D17="",0,COUNTA(E17:J17))</x:f>
        <x:v>6</x:v>
      </x:c>
      <x:c r="M17" s="26" t="str">
        <x:f>IF(D17="","Reserved",IF(AND(E17&lt;&gt;"",F17&lt;&gt;"",COUNTA(G17:J17)=4,K17=5,L17=6),"Ready","Review"))</x:f>
        <x:v>Ready</x:v>
      </x:c>
      <x:c r="N17" s="32" t="str"/>
    </x:row>
    <x:row r="18" ht="24" customHeight="1">
      <x:c r="A18" s="25" t="str">
        <x:v>v2.0-draft</x:v>
      </x:c>
      <x:c r="B18" s="26" t="n">
        <x:v>3</x:v>
      </x:c>
      <x:c r="C18" s="26" t="n">
        <x:v>5</x:v>
      </x:c>
      <x:c r="D18" s="25" t="str">
        <x:v>Painting</x:v>
      </x:c>
      <x:c r="E18" s="25" t="str">
        <x:v>01-Painting-Cello.JPG</x:v>
      </x:c>
      <x:c r="F18" s="25" t="str">
        <x:v>03-Painting.JPG</x:v>
      </x:c>
      <x:c r="G18" s="25" t="str">
        <x:v>04-Painting-Cello-snake.JPG</x:v>
      </x:c>
      <x:c r="H18" s="25" t="str">
        <x:v>04-Painting-Chair snake.JPG</x:v>
      </x:c>
      <x:c r="I18" s="25" t="str">
        <x:v>04-Painting-Chair.JPG</x:v>
      </x:c>
      <x:c r="J18" s="25" t="str">
        <x:v>04-Painting-statue.JPG</x:v>
      </x:c>
      <x:c r="K18" s="26" t="n">
        <x:f>IF(D18="",0,1+COUNTA(G18:J18))</x:f>
        <x:v>5</x:v>
      </x:c>
      <x:c r="L18" s="26" t="n">
        <x:f>IF(D18="",0,COUNTA(E18:J18))</x:f>
        <x:v>6</x:v>
      </x:c>
      <x:c r="M18" s="26" t="str">
        <x:f>IF(D18="","Reserved",IF(AND(E18&lt;&gt;"",F18&lt;&gt;"",COUNTA(G18:J18)=4,K18=5,L18=6),"Ready","Review"))</x:f>
        <x:v>Ready</x:v>
      </x:c>
      <x:c r="N18" s="32" t="str"/>
    </x:row>
    <x:row r="19" ht="24" customHeight="1">
      <x:c r="A19" s="25" t="str">
        <x:v>v2.0-draft</x:v>
      </x:c>
      <x:c r="B19" s="26" t="n">
        <x:v>3</x:v>
      </x:c>
      <x:c r="C19" s="26" t="n">
        <x:v>6</x:v>
      </x:c>
      <x:c r="D19" s="25" t="str">
        <x:v>Closet</x:v>
      </x:c>
      <x:c r="E19" s="25" t="str">
        <x:v>01-Closet Lighthouse.jpg</x:v>
      </x:c>
      <x:c r="F19" s="25" t="str">
        <x:v>03-closet.jpg</x:v>
      </x:c>
      <x:c r="G19" s="25" t="str">
        <x:v>04-closet clothes motocyclel.jpg</x:v>
      </x:c>
      <x:c r="H19" s="25" t="str">
        <x:v>04-closet clothes.jpg</x:v>
      </x:c>
      <x:c r="I19" s="25" t="str">
        <x:v>04-Closet Lighthouse Motorcycle.jpg</x:v>
      </x:c>
      <x:c r="J19" s="25" t="str">
        <x:v>04-Closet wires.jpg</x:v>
      </x:c>
      <x:c r="K19" s="26" t="n">
        <x:f>IF(D19="",0,1+COUNTA(G19:J19))</x:f>
        <x:v>5</x:v>
      </x:c>
      <x:c r="L19" s="26" t="n">
        <x:f>IF(D19="",0,COUNTA(E19:J19))</x:f>
        <x:v>6</x:v>
      </x:c>
      <x:c r="M19" s="26" t="str">
        <x:f>IF(D19="","Reserved",IF(AND(E19&lt;&gt;"",F19&lt;&gt;"",COUNTA(G19:J19)=4,K19=5,L19=6),"Ready","Review"))</x:f>
        <x:v>Ready</x:v>
      </x:c>
      <x:c r="N19" s="32" t="str"/>
    </x:row>
    <x:row r="20" ht="24" customHeight="1">
      <x:c r="A20" s="25" t="str">
        <x:v>v2.0-draft</x:v>
      </x:c>
      <x:c r="B20" s="26" t="n">
        <x:v>4</x:v>
      </x:c>
      <x:c r="C20" s="26" t="n">
        <x:v>1</x:v>
      </x:c>
      <x:c r="D20" s="25" t="str">
        <x:v>Bridge</x:v>
      </x:c>
      <x:c r="E20" s="25" t="str">
        <x:v>01-budda bridge.jpg</x:v>
      </x:c>
      <x:c r="F20" s="25" t="str">
        <x:v>03-bridge.jpeg</x:v>
      </x:c>
      <x:c r="G20" s="25" t="str">
        <x:v>04- bridge geese.jpg</x:v>
      </x:c>
      <x:c r="H20" s="25" t="str">
        <x:v>04-budda bridge helicopter.jpg</x:v>
      </x:c>
      <x:c r="I20" s="25" t="str">
        <x:v>04-temple bridge helicopter.jpg</x:v>
      </x:c>
      <x:c r="J20" s="25" t="str">
        <x:v>04-temple bridge.jpg</x:v>
      </x:c>
      <x:c r="K20" s="26" t="n">
        <x:f>IF(D20="",0,1+COUNTA(G20:J20))</x:f>
        <x:v>5</x:v>
      </x:c>
      <x:c r="L20" s="26" t="n">
        <x:f>IF(D20="",0,COUNTA(E20:J20))</x:f>
        <x:v>6</x:v>
      </x:c>
      <x:c r="M20" s="26" t="str">
        <x:f>IF(D20="","Reserved",IF(AND(E20&lt;&gt;"",F20&lt;&gt;"",COUNTA(G20:J20)=4,K20=5,L20=6),"Ready","Review"))</x:f>
        <x:v>Ready</x:v>
      </x:c>
      <x:c r="N20" s="32" t="str"/>
    </x:row>
    <x:row r="21" ht="24" customHeight="1">
      <x:c r="A21" s="25" t="str">
        <x:v>v2.0-draft</x:v>
      </x:c>
      <x:c r="B21" s="26" t="n">
        <x:v>4</x:v>
      </x:c>
      <x:c r="C21" s="26" t="n">
        <x:v>2</x:v>
      </x:c>
      <x:c r="D21" s="25" t="str">
        <x:v>Barney</x:v>
      </x:c>
      <x:c r="E21" s="25" t="str">
        <x:v>01-Barnet-FishingRod.JPG</x:v>
      </x:c>
      <x:c r="F21" s="25" t="str">
        <x:v>03-Barney.JPG</x:v>
      </x:c>
      <x:c r="G21" s="25" t="str">
        <x:v>04-Barnet-Baby Bop.JPG</x:v>
      </x:c>
      <x:c r="H21" s="25" t="str">
        <x:v>04-Barnet-Bats fish.JPG</x:v>
      </x:c>
      <x:c r="I21" s="25" t="str">
        <x:v>04-Barnet-Bats.JPG</x:v>
      </x:c>
      <x:c r="J21" s="25" t="str">
        <x:v>04-Barney-FishingRod-Fish.jpg</x:v>
      </x:c>
      <x:c r="K21" s="26" t="n">
        <x:f>IF(D21="",0,1+COUNTA(G21:J21))</x:f>
        <x:v>5</x:v>
      </x:c>
      <x:c r="L21" s="26" t="n">
        <x:f>IF(D21="",0,COUNTA(E21:J21))</x:f>
        <x:v>6</x:v>
      </x:c>
      <x:c r="M21" s="26" t="str">
        <x:f>IF(D21="","Reserved",IF(AND(E21&lt;&gt;"",F21&lt;&gt;"",COUNTA(G21:J21)=4,K21=5,L21=6),"Ready","Review"))</x:f>
        <x:v>Ready</x:v>
      </x:c>
      <x:c r="N21" s="32" t="str"/>
    </x:row>
    <x:row r="22" ht="24" customHeight="1">
      <x:c r="A22" s="25" t="str">
        <x:v>v2.0-draft</x:v>
      </x:c>
      <x:c r="B22" s="26" t="n">
        <x:v>4</x:v>
      </x:c>
      <x:c r="C22" s="26" t="n">
        <x:v>3</x:v>
      </x:c>
      <x:c r="D22" s="25" t="str">
        <x:v>Pot</x:v>
      </x:c>
      <x:c r="E22" s="25" t="str">
        <x:v>01-Pot-Shoe.JPG</x:v>
      </x:c>
      <x:c r="F22" s="25" t="str">
        <x:v>03-partial.JPG</x:v>
      </x:c>
      <x:c r="G22" s="25" t="str">
        <x:v>04-Pot-book leeks.JPG</x:v>
      </x:c>
      <x:c r="H22" s="25" t="str">
        <x:v>04-Pot-books.JPG</x:v>
      </x:c>
      <x:c r="I22" s="25" t="str">
        <x:v>04-Pot-chili.JPG</x:v>
      </x:c>
      <x:c r="J22" s="25" t="str">
        <x:v>04-Pot-Shoe-leeks.JPG</x:v>
      </x:c>
      <x:c r="K22" s="26" t="n">
        <x:f>IF(D22="",0,1+COUNTA(G22:J22))</x:f>
        <x:v>5</x:v>
      </x:c>
      <x:c r="L22" s="26" t="n">
        <x:f>IF(D22="",0,COUNTA(E22:J22))</x:f>
        <x:v>6</x:v>
      </x:c>
      <x:c r="M22" s="26" t="str">
        <x:f>IF(D22="","Reserved",IF(AND(E22&lt;&gt;"",F22&lt;&gt;"",COUNTA(G22:J22)=4,K22=5,L22=6),"Ready","Review"))</x:f>
        <x:v>Ready</x:v>
      </x:c>
      <x:c r="N22" s="32" t="str"/>
    </x:row>
    <x:row r="23" ht="24" customHeight="1">
      <x:c r="A23" s="25" t="str">
        <x:v>v2.0-draft</x:v>
      </x:c>
      <x:c r="B23" s="26" t="n">
        <x:v>4</x:v>
      </x:c>
      <x:c r="C23" s="26" t="n">
        <x:v>4</x:v>
      </x:c>
      <x:c r="D23" s="25" t="str">
        <x:v>Sled</x:v>
      </x:c>
      <x:c r="E23" s="25" t="str">
        <x:v>01-Sled_Dog.JPG</x:v>
      </x:c>
      <x:c r="F23" s="25" t="str">
        <x:v>03-Sled.JPG</x:v>
      </x:c>
      <x:c r="G23" s="25" t="str">
        <x:v>04-sled rocks.JPG</x:v>
      </x:c>
      <x:c r="H23" s="25" t="str">
        <x:v>04-Sled_Dog-puppy.JPG</x:v>
      </x:c>
      <x:c r="I23" s="25" t="str">
        <x:v>04-Sled_Firewood puppy.JPG</x:v>
      </x:c>
      <x:c r="J23" s="25" t="str">
        <x:v>04-Sled_Firewood.JPG</x:v>
      </x:c>
      <x:c r="K23" s="26" t="n">
        <x:f>IF(D23="",0,1+COUNTA(G23:J23))</x:f>
        <x:v>5</x:v>
      </x:c>
      <x:c r="L23" s="26" t="n">
        <x:f>IF(D23="",0,COUNTA(E23:J23))</x:f>
        <x:v>6</x:v>
      </x:c>
      <x:c r="M23" s="26" t="str">
        <x:f>IF(D23="","Reserved",IF(AND(E23&lt;&gt;"",F23&lt;&gt;"",COUNTA(G23:J23)=4,K23=5,L23=6),"Ready","Review"))</x:f>
        <x:v>Ready</x:v>
      </x:c>
      <x:c r="N23" s="32" t="str"/>
    </x:row>
    <x:row r="24" ht="24" customHeight="1">
      <x:c r="A24" s="25" t="str">
        <x:v>v2.0-draft</x:v>
      </x:c>
      <x:c r="B24" s="26" t="n">
        <x:v>4</x:v>
      </x:c>
      <x:c r="C24" s="26" t="n">
        <x:v>5</x:v>
      </x:c>
      <x:c r="D24" s="25" t="str">
        <x:v>Candle</x:v>
      </x:c>
      <x:c r="E24" s="25" t="str">
        <x:v>01-Candle-Headphones.JPG</x:v>
      </x:c>
      <x:c r="F24" s="25" t="str">
        <x:v>03-Candle.JPG</x:v>
      </x:c>
      <x:c r="G24" s="25" t="str">
        <x:v>04-Candle_Sunglasses-Orange.JPG</x:v>
      </x:c>
      <x:c r="H24" s="25" t="str">
        <x:v>04-Candle_Sunglasses.JPG</x:v>
      </x:c>
      <x:c r="I24" s="25" t="str">
        <x:v>04-Candle-flame.JPG</x:v>
      </x:c>
      <x:c r="J24" s="25" t="str">
        <x:v>04-Candle-Headphones orange.JPG</x:v>
      </x:c>
      <x:c r="K24" s="26" t="n">
        <x:f>IF(D24="",0,1+COUNTA(G24:J24))</x:f>
        <x:v>5</x:v>
      </x:c>
      <x:c r="L24" s="26" t="n">
        <x:f>IF(D24="",0,COUNTA(E24:J24))</x:f>
        <x:v>6</x:v>
      </x:c>
      <x:c r="M24" s="26" t="str">
        <x:f>IF(D24="","Reserved",IF(AND(E24&lt;&gt;"",F24&lt;&gt;"",COUNTA(G24:J24)=4,K24=5,L24=6),"Ready","Review"))</x:f>
        <x:v>Ready</x:v>
      </x:c>
      <x:c r="N24" s="32" t="str"/>
    </x:row>
    <x:row r="25" ht="24" customHeight="1">
      <x:c r="A25" s="25" t="str">
        <x:v>v2.0-draft</x:v>
      </x:c>
      <x:c r="B25" s="26" t="n">
        <x:v>4</x:v>
      </x:c>
      <x:c r="C25" s="26" t="n">
        <x:v>6</x:v>
      </x:c>
      <x:c r="D25" s="25" t="str">
        <x:v>baby carriage</x:v>
      </x:c>
      <x:c r="E25" s="25" t="str">
        <x:v>01_seal_pram.jpg</x:v>
      </x:c>
      <x:c r="F25" s="25" t="str">
        <x:v>03_empty_pram.jpg</x:v>
      </x:c>
      <x:c r="G25" s="25" t="str">
        <x:v>04_pram_baby.jpg</x:v>
      </x:c>
      <x:c r="H25" s="25" t="str">
        <x:v>04_pram_clock truck.jpg</x:v>
      </x:c>
      <x:c r="I25" s="25" t="str">
        <x:v>04_pram_clock.jpg</x:v>
      </x:c>
      <x:c r="J25" s="25" t="str">
        <x:v>04_seal_pram_truck.jpg</x:v>
      </x:c>
      <x:c r="K25" s="26" t="n">
        <x:f>IF(D25="",0,1+COUNTA(G25:J25))</x:f>
        <x:v>5</x:v>
      </x:c>
      <x:c r="L25" s="26" t="n">
        <x:f>IF(D25="",0,COUNTA(E25:J25))</x:f>
        <x:v>6</x:v>
      </x:c>
      <x:c r="M25" s="26" t="str">
        <x:f>IF(D25="","Reserved",IF(AND(E25&lt;&gt;"",F25&lt;&gt;"",COUNTA(G25:J25)=4,K25=5,L25=6),"Ready","Review"))</x:f>
        <x:v>Ready</x:v>
      </x:c>
      <x:c r="N25" s="32" t="str"/>
    </x:row>
    <x:row r="26" ht="24" customHeight="1">
      <x:c r="A26" s="25" t="str">
        <x:v>v2.0-draft</x:v>
      </x:c>
      <x:c r="B26" s="26" t="n">
        <x:v>5</x:v>
      </x:c>
      <x:c r="C26" s="26" t="n">
        <x:v>1</x:v>
      </x:c>
      <x:c r="D26" s="25" t="str">
        <x:v>Elephant Pond</x:v>
      </x:c>
      <x:c r="E26" s="25" t="str">
        <x:v>01-Elephant Pond.jpg</x:v>
      </x:c>
      <x:c r="F26" s="25" t="str">
        <x:v>03-pond.jpg</x:v>
      </x:c>
      <x:c r="G26" s="25" t="str">
        <x:v>04-Elephant Pond Rowboat.jpg</x:v>
      </x:c>
      <x:c r="H26" s="25" t="str">
        <x:v>04-Elephant Pond Tower rowboat.jpg</x:v>
      </x:c>
      <x:c r="I26" s="25" t="str">
        <x:v>04-Elephant Pond Tower.jpg</x:v>
      </x:c>
      <x:c r="J26" s="25" t="str">
        <x:v>04-pond geese.jpg</x:v>
      </x:c>
      <x:c r="K26" s="26" t="n">
        <x:f>IF(D26="",0,1+COUNTA(G26:J26))</x:f>
        <x:v>5</x:v>
      </x:c>
      <x:c r="L26" s="26" t="n">
        <x:f>IF(D26="",0,COUNTA(E26:J26))</x:f>
        <x:v>6</x:v>
      </x:c>
      <x:c r="M26" s="26" t="str">
        <x:f>IF(D26="","Reserved",IF(AND(E26&lt;&gt;"",F26&lt;&gt;"",COUNTA(G26:J26)=4,K26=5,L26=6),"Ready","Review"))</x:f>
        <x:v>Ready</x:v>
      </x:c>
      <x:c r="N26" s="32" t="str"/>
    </x:row>
    <x:row r="27" ht="24" customHeight="1">
      <x:c r="A27" s="25" t="str">
        <x:v>v2.0-draft</x:v>
      </x:c>
      <x:c r="B27" s="26" t="n">
        <x:v>5</x:v>
      </x:c>
      <x:c r="C27" s="26" t="n">
        <x:v>2</x:v>
      </x:c>
      <x:c r="D27" s="25" t="str">
        <x:v>Shell</x:v>
      </x:c>
      <x:c r="E27" s="25" t="str">
        <x:v>01-Shell-Watch.JPG</x:v>
      </x:c>
      <x:c r="F27" s="25" t="str">
        <x:v>03-Shell.JPG</x:v>
      </x:c>
      <x:c r="G27" s="25" t="str">
        <x:v>04-Shell-gnome crab.JPG</x:v>
      </x:c>
      <x:c r="H27" s="25" t="str">
        <x:v>04-Shell-gnome.JPG</x:v>
      </x:c>
      <x:c r="I27" s="25" t="str">
        <x:v>04-Shell-snail.JPG</x:v>
      </x:c>
      <x:c r="J27" s="25" t="str">
        <x:v>04-Shell-Watch-crab.JPG</x:v>
      </x:c>
      <x:c r="K27" s="26" t="n">
        <x:f>IF(D27="",0,1+COUNTA(G27:J27))</x:f>
        <x:v>5</x:v>
      </x:c>
      <x:c r="L27" s="26" t="n">
        <x:f>IF(D27="",0,COUNTA(E27:J27))</x:f>
        <x:v>6</x:v>
      </x:c>
      <x:c r="M27" s="26" t="str">
        <x:f>IF(D27="","Reserved",IF(AND(E27&lt;&gt;"",F27&lt;&gt;"",COUNTA(G27:J27)=4,K27=5,L27=6),"Ready","Review"))</x:f>
        <x:v>Ready</x:v>
      </x:c>
      <x:c r="N27" s="32" t="str"/>
    </x:row>
    <x:row r="28" ht="24" customHeight="1">
      <x:c r="A28" s="25" t="str">
        <x:v>v2.0-draft</x:v>
      </x:c>
      <x:c r="B28" s="26" t="n">
        <x:v>5</x:v>
      </x:c>
      <x:c r="C28" s="26" t="n">
        <x:v>3</x:v>
      </x:c>
      <x:c r="D28" s="25" t="str">
        <x:v>Teapot</x:v>
      </x:c>
      <x:c r="E28" s="25" t="str">
        <x:v>01-Teapot_Flower.JPG</x:v>
      </x:c>
      <x:c r="F28" s="25" t="str">
        <x:v>03-Teapot.JPG</x:v>
      </x:c>
      <x:c r="G28" s="25" t="str">
        <x:v>04-Teapot_Flower-bee.JPG</x:v>
      </x:c>
      <x:c r="H28" s="25" t="str">
        <x:v>04-Teapot-brush bee.JPG</x:v>
      </x:c>
      <x:c r="I28" s="25" t="str">
        <x:v>04-Teapot-brush.JPG</x:v>
      </x:c>
      <x:c r="J28" s="25" t="str">
        <x:v>04-Teapot-cups.JPG</x:v>
      </x:c>
      <x:c r="K28" s="26" t="n">
        <x:f>IF(D28="",0,1+COUNTA(G28:J28))</x:f>
        <x:v>5</x:v>
      </x:c>
      <x:c r="L28" s="26" t="n">
        <x:f>IF(D28="",0,COUNTA(E28:J28))</x:f>
        <x:v>6</x:v>
      </x:c>
      <x:c r="M28" s="26" t="str">
        <x:f>IF(D28="","Reserved",IF(AND(E28&lt;&gt;"",F28&lt;&gt;"",COUNTA(G28:J28)=4,K28=5,L28=6),"Ready","Review"))</x:f>
        <x:v>Ready</x:v>
      </x:c>
      <x:c r="N28" s="32" t="str"/>
    </x:row>
    <x:row r="29" ht="24" customHeight="1">
      <x:c r="A29" s="25" t="str">
        <x:v>v2.0-draft</x:v>
      </x:c>
      <x:c r="B29" s="26" t="n">
        <x:v>5</x:v>
      </x:c>
      <x:c r="C29" s="26" t="n">
        <x:v>4</x:v>
      </x:c>
      <x:c r="D29" s="25" t="str">
        <x:v>Backpack</x:v>
      </x:c>
      <x:c r="E29" s="25" t="str">
        <x:v>01-Backpack-Soccer.JPG</x:v>
      </x:c>
      <x:c r="F29" s="25" t="str">
        <x:v>03-Backpack.JPG</x:v>
      </x:c>
      <x:c r="G29" s="25" t="str">
        <x:v>04-Backpack-books.JPG</x:v>
      </x:c>
      <x:c r="H29" s="25" t="str">
        <x:v>04-Backpack-Helmet tiara.JPG</x:v>
      </x:c>
      <x:c r="I29" s="25" t="str">
        <x:v>04-Backpack-Helmet.JPG</x:v>
      </x:c>
      <x:c r="J29" s="25" t="str">
        <x:v>04-Backpack-Soccer-Tiara.jpg</x:v>
      </x:c>
      <x:c r="K29" s="26" t="n">
        <x:f>IF(D29="",0,1+COUNTA(G29:J29))</x:f>
        <x:v>5</x:v>
      </x:c>
      <x:c r="L29" s="26" t="n">
        <x:f>IF(D29="",0,COUNTA(E29:J29))</x:f>
        <x:v>6</x:v>
      </x:c>
      <x:c r="M29" s="26" t="str">
        <x:f>IF(D29="","Reserved",IF(AND(E29&lt;&gt;"",F29&lt;&gt;"",COUNTA(G29:J29)=4,K29=5,L29=6),"Ready","Review"))</x:f>
        <x:v>Ready</x:v>
      </x:c>
      <x:c r="N29" s="32" t="str"/>
    </x:row>
    <x:row r="30" ht="24" customHeight="1">
      <x:c r="A30" s="25" t="str">
        <x:v>v2.0-draft</x:v>
      </x:c>
      <x:c r="B30" s="26" t="n">
        <x:v>5</x:v>
      </x:c>
      <x:c r="C30" s="26" t="n">
        <x:v>5</x:v>
      </x:c>
      <x:c r="D30" s="25" t="str">
        <x:v>Toilet</x:v>
      </x:c>
      <x:c r="E30" s="25" t="str">
        <x:v>01-tree toilet.jpg</x:v>
      </x:c>
      <x:c r="F30" s="25" t="str">
        <x:v>03-toilet.jpg</x:v>
      </x:c>
      <x:c r="G30" s="25" t="str">
        <x:v>04-lamp toilet swing.jpg</x:v>
      </x:c>
      <x:c r="H30" s="25" t="str">
        <x:v>04-lamp toilet.jpg</x:v>
      </x:c>
      <x:c r="I30" s="25" t="str">
        <x:v>04-toilet paper.jpg</x:v>
      </x:c>
      <x:c r="J30" s="25" t="str">
        <x:v>04-tree toilet swing.jpg</x:v>
      </x:c>
      <x:c r="K30" s="26" t="n">
        <x:f>IF(D30="",0,1+COUNTA(G30:J30))</x:f>
        <x:v>5</x:v>
      </x:c>
      <x:c r="L30" s="26" t="n">
        <x:f>IF(D30="",0,COUNTA(E30:J30))</x:f>
        <x:v>6</x:v>
      </x:c>
      <x:c r="M30" s="26" t="str">
        <x:f>IF(D30="","Reserved",IF(AND(E30&lt;&gt;"",F30&lt;&gt;"",COUNTA(G30:J30)=4,K30=5,L30=6),"Ready","Review"))</x:f>
        <x:v>Ready</x:v>
      </x:c>
      <x:c r="N30" s="32" t="str"/>
    </x:row>
    <x:row r="31" ht="24" customHeight="1">
      <x:c r="A31" s="25" t="str">
        <x:v>v2.0-draft</x:v>
      </x:c>
      <x:c r="B31" s="26" t="n">
        <x:v>5</x:v>
      </x:c>
      <x:c r="C31" s="26" t="n">
        <x:v>6</x:v>
      </x:c>
      <x:c r="D31" s="25" t="str">
        <x:v>Firewood</x:v>
      </x:c>
      <x:c r="E31" s="25" t="str">
        <x:v>01-Firewood_Net.JPG</x:v>
      </x:c>
      <x:c r="F31" s="25" t="str">
        <x:v>03-Firewood.JPG</x:v>
      </x:c>
      <x:c r="G31" s="25" t="str">
        <x:v>04-Firewood axe.JPG</x:v>
      </x:c>
      <x:c r="H31" s="25" t="str">
        <x:v>04-Firewood_Hammer frog.JPG</x:v>
      </x:c>
      <x:c r="I31" s="25" t="str">
        <x:v>04-Firewood_Hammer.JPG</x:v>
      </x:c>
      <x:c r="J31" s="25" t="str">
        <x:v>04-Firewood_Net-frog.JPG</x:v>
      </x:c>
      <x:c r="K31" s="26" t="n">
        <x:f>IF(D31="",0,1+COUNTA(G31:J31))</x:f>
        <x:v>5</x:v>
      </x:c>
      <x:c r="L31" s="26" t="n">
        <x:f>IF(D31="",0,COUNTA(E31:J31))</x:f>
        <x:v>6</x:v>
      </x:c>
      <x:c r="M31" s="26" t="str">
        <x:f>IF(D31="","Reserved",IF(AND(E31&lt;&gt;"",F31&lt;&gt;"",COUNTA(G31:J31)=4,K31=5,L31=6),"Ready","Review"))</x:f>
        <x:v>Ready</x:v>
      </x:c>
      <x:c r="N31" s="32" t="str"/>
    </x:row>
    <x:row r="32" ht="24" customHeight="1">
      <x:c r="A32" s="25" t="str">
        <x:v>v2.0-draft</x:v>
      </x:c>
      <x:c r="B32" s="26" t="n">
        <x:v>6</x:v>
      </x:c>
      <x:c r="C32" s="26" t="n">
        <x:v>1</x:v>
      </x:c>
      <x:c r="D32" s="25" t="str">
        <x:v>Snow</x:v>
      </x:c>
      <x:c r="E32" s="25" t="str">
        <x:v>01-telescope snow.jpg</x:v>
      </x:c>
      <x:c r="F32" s="25" t="str">
        <x:v>03-snow.jpg</x:v>
      </x:c>
      <x:c r="G32" s="25" t="str">
        <x:v>04-snow dog woodpecker.jpg</x:v>
      </x:c>
      <x:c r="H32" s="25" t="str">
        <x:v>04-snow dog.jpg</x:v>
      </x:c>
      <x:c r="I32" s="25" t="str">
        <x:v>04-snow snowman.jpg</x:v>
      </x:c>
      <x:c r="J32" s="25" t="str">
        <x:v>04-telescope snow woodpecker.jpg</x:v>
      </x:c>
      <x:c r="K32" s="26" t="n">
        <x:f>IF(D32="",0,1+COUNTA(G32:J32))</x:f>
        <x:v>5</x:v>
      </x:c>
      <x:c r="L32" s="26" t="n">
        <x:f>IF(D32="",0,COUNTA(E32:J32))</x:f>
        <x:v>6</x:v>
      </x:c>
      <x:c r="M32" s="26" t="str">
        <x:f>IF(D32="","Reserved",IF(AND(E32&lt;&gt;"",F32&lt;&gt;"",COUNTA(G32:J32)=4,K32=5,L32=6),"Ready","Review"))</x:f>
        <x:v>Ready</x:v>
      </x:c>
      <x:c r="N32" s="32" t="str"/>
    </x:row>
    <x:row r="33" ht="24" customHeight="1">
      <x:c r="A33" s="25" t="str">
        <x:v>v2.0-draft</x:v>
      </x:c>
      <x:c r="B33" s="26" t="n">
        <x:v>6</x:v>
      </x:c>
      <x:c r="C33" s="26" t="n">
        <x:v>2</x:v>
      </x:c>
      <x:c r="D33" s="25" t="str">
        <x:v>Sunset</x:v>
      </x:c>
      <x:c r="E33" s="25" t="str">
        <x:v>01-Lion sunset.jpg</x:v>
      </x:c>
      <x:c r="F33" s="25" t="str">
        <x:v>03-sunset.jpeg</x:v>
      </x:c>
      <x:c r="G33" s="25" t="str">
        <x:v>04-lion sunset sailboat.jpg</x:v>
      </x:c>
      <x:c r="H33" s="25" t="str">
        <x:v>04-sunset apples sailboat.jpg</x:v>
      </x:c>
      <x:c r="I33" s="25" t="str">
        <x:v>04-sunset apples.jpg</x:v>
      </x:c>
      <x:c r="J33" s="25" t="str">
        <x:v>04-sunset plane.jpg</x:v>
      </x:c>
      <x:c r="K33" s="26" t="n">
        <x:f>IF(D33="",0,1+COUNTA(G33:J33))</x:f>
        <x:v>5</x:v>
      </x:c>
      <x:c r="L33" s="26" t="n">
        <x:f>IF(D33="",0,COUNTA(E33:J33))</x:f>
        <x:v>6</x:v>
      </x:c>
      <x:c r="M33" s="26" t="str">
        <x:f>IF(D33="","Reserved",IF(AND(E33&lt;&gt;"",F33&lt;&gt;"",COUNTA(G33:J33)=4,K33=5,L33=6),"Ready","Review"))</x:f>
        <x:v>Ready</x:v>
      </x:c>
      <x:c r="N33" s="32" t="str"/>
    </x:row>
    <x:row r="34" ht="24" customHeight="1">
      <x:c r="A34" s="25" t="str">
        <x:v>v2.0-draft</x:v>
      </x:c>
      <x:c r="B34" s="26" t="n">
        <x:v>6</x:v>
      </x:c>
      <x:c r="C34" s="26" t="n">
        <x:v>3</x:v>
      </x:c>
      <x:c r="D34" s="25" t="str">
        <x:v>horn</x:v>
      </x:c>
      <x:c r="E34" s="25" t="str">
        <x:v>01-Horn-Duck.JPG</x:v>
      </x:c>
      <x:c r="F34" s="25" t="str">
        <x:v>03-Horn.JPG</x:v>
      </x:c>
      <x:c r="G34" s="25" t="str">
        <x:v>04-Horn-Duck-bow.JPG</x:v>
      </x:c>
      <x:c r="H34" s="25" t="str">
        <x:v>04-Horn-Muffs bow.JPG</x:v>
      </x:c>
      <x:c r="I34" s="25" t="str">
        <x:v>04-Horn-Muffs.JPG</x:v>
      </x:c>
      <x:c r="J34" s="25" t="str">
        <x:v>04-Horn-music.JPG</x:v>
      </x:c>
      <x:c r="K34" s="26" t="n">
        <x:f>IF(D34="",0,1+COUNTA(G34:J34))</x:f>
        <x:v>5</x:v>
      </x:c>
      <x:c r="L34" s="26" t="n">
        <x:f>IF(D34="",0,COUNTA(E34:J34))</x:f>
        <x:v>6</x:v>
      </x:c>
      <x:c r="M34" s="26" t="str">
        <x:f>IF(D34="","Reserved",IF(AND(E34&lt;&gt;"",F34&lt;&gt;"",COUNTA(G34:J34)=4,K34=5,L34=6),"Ready","Review"))</x:f>
        <x:v>Ready</x:v>
      </x:c>
      <x:c r="N34" s="32" t="str"/>
    </x:row>
    <x:row r="35" ht="24" customHeight="1">
      <x:c r="A35" s="25" t="str">
        <x:v>v2.0-draft</x:v>
      </x:c>
      <x:c r="B35" s="26" t="n">
        <x:v>6</x:v>
      </x:c>
      <x:c r="C35" s="26" t="n">
        <x:v>4</x:v>
      </x:c>
      <x:c r="D35" s="25" t="str">
        <x:v>Basket</x:v>
      </x:c>
      <x:c r="E35" s="25" t="str">
        <x:v>01-Basket_Hanger.JPG</x:v>
      </x:c>
      <x:c r="F35" s="25" t="str">
        <x:v>03-Basket.JPG</x:v>
      </x:c>
      <x:c r="G35" s="25" t="str">
        <x:v>04-Basket_clothes.JPG</x:v>
      </x:c>
      <x:c r="H35" s="25" t="str">
        <x:v>04-Basket_Hanger-bunny.JPG</x:v>
      </x:c>
      <x:c r="I35" s="25" t="str">
        <x:v>04-Basket_Shorts bunny.JPG</x:v>
      </x:c>
      <x:c r="J35" s="25" t="str">
        <x:v>04-Basket_Shorts.JPG</x:v>
      </x:c>
      <x:c r="K35" s="26" t="n">
        <x:f>IF(D35="",0,1+COUNTA(G35:J35))</x:f>
        <x:v>5</x:v>
      </x:c>
      <x:c r="L35" s="26" t="n">
        <x:f>IF(D35="",0,COUNTA(E35:J35))</x:f>
        <x:v>6</x:v>
      </x:c>
      <x:c r="M35" s="26" t="str">
        <x:f>IF(D35="","Reserved",IF(AND(E35&lt;&gt;"",F35&lt;&gt;"",COUNTA(G35:J35)=4,K35=5,L35=6),"Ready","Review"))</x:f>
        <x:v>Ready</x:v>
      </x:c>
      <x:c r="N35" s="32" t="str"/>
    </x:row>
    <x:row r="36" ht="24" customHeight="1">
      <x:c r="A36" s="25" t="str">
        <x:v>v2.0-draft</x:v>
      </x:c>
      <x:c r="B36" s="26" t="n">
        <x:v>6</x:v>
      </x:c>
      <x:c r="C36" s="26" t="n">
        <x:v>5</x:v>
      </x:c>
      <x:c r="D36" s="25" t="str">
        <x:v>Bathtub</x:v>
      </x:c>
      <x:c r="E36" s="25" t="str">
        <x:v>01-trail marker bathtub.jpg</x:v>
      </x:c>
      <x:c r="F36" s="25" t="str">
        <x:v>03-bathtub.jpg</x:v>
      </x:c>
      <x:c r="G36" s="25" t="str">
        <x:v>04-bathtub bubble bath.jpg</x:v>
      </x:c>
      <x:c r="H36" s="25" t="str">
        <x:v>04-lemon tree bathtub gold.jpg</x:v>
      </x:c>
      <x:c r="I36" s="25" t="str">
        <x:v>04-lemon tree bathtub.jpg</x:v>
      </x:c>
      <x:c r="J36" s="25" t="str">
        <x:v>04-lemon tree bathtub.png</x:v>
      </x:c>
      <x:c r="K36" s="26" t="n">
        <x:f>IF(D36="",0,1+COUNTA(G36:J36))</x:f>
        <x:v>5</x:v>
      </x:c>
      <x:c r="L36" s="26" t="n">
        <x:f>IF(D36="",0,COUNTA(E36:J36))</x:f>
        <x:v>6</x:v>
      </x:c>
      <x:c r="M36" s="26" t="str">
        <x:f>IF(D36="","Reserved",IF(AND(E36&lt;&gt;"",F36&lt;&gt;"",COUNTA(G36:J36)=4,K36=5,L36=6),"Ready","Review"))</x:f>
        <x:v>Ready</x:v>
      </x:c>
      <x:c r="N36" s="32" t="str"/>
    </x:row>
    <x:row r="37" ht="24" customHeight="1">
      <x:c r="A37" s="25" t="str">
        <x:v>v2.0-draft</x:v>
      </x:c>
      <x:c r="B37" s="26" t="n">
        <x:v>6</x:v>
      </x:c>
      <x:c r="C37" s="26" t="n">
        <x:v>6</x:v>
      </x:c>
      <x:c r="D37" s="25" t="str">
        <x:v>Surge</x:v>
      </x:c>
      <x:c r="E37" s="25" t="str">
        <x:v>01-Surge_Forks.JPG</x:v>
      </x:c>
      <x:c r="F37" s="25" t="str">
        <x:v>03-Surge.JPG</x:v>
      </x:c>
      <x:c r="G37" s="25" t="str">
        <x:v>04-Surge_Forks-plugs.JPG</x:v>
      </x:c>
      <x:c r="H37" s="25" t="str">
        <x:v>04-Surge_poster.JPG</x:v>
      </x:c>
      <x:c r="I37" s="25" t="str">
        <x:v>04-Surge_ruler_plugs.JPG</x:v>
      </x:c>
      <x:c r="J37" s="25" t="str">
        <x:v>04-Surge_ruler.JPG</x:v>
      </x:c>
      <x:c r="K37" s="26" t="n">
        <x:f>IF(D37="",0,1+COUNTA(G37:J37))</x:f>
        <x:v>5</x:v>
      </x:c>
      <x:c r="L37" s="26" t="n">
        <x:f>IF(D37="",0,COUNTA(E37:J37))</x:f>
        <x:v>6</x:v>
      </x:c>
      <x:c r="M37" s="26" t="str">
        <x:f>IF(D37="","Reserved",IF(AND(E37&lt;&gt;"",F37&lt;&gt;"",COUNTA(G37:J37)=4,K37=5,L37=6),"Ready","Review"))</x:f>
        <x:v>Ready</x:v>
      </x:c>
      <x:c r="N37" s="32" t="str"/>
    </x:row>
    <x:row r="38" ht="24" customHeight="1">
      <x:c r="A38" s="27" t="str">
        <x:v>Future</x:v>
      </x:c>
      <x:c r="B38" s="28" t="n">
        <x:v>7</x:v>
      </x:c>
      <x:c r="C38" s="28" t="n">
        <x:v>1</x:v>
      </x:c>
      <x:c r="D38" s="27" t="str"/>
      <x:c r="E38" s="27" t="str"/>
      <x:c r="F38" s="27" t="str"/>
      <x:c r="G38" s="27" t="str"/>
      <x:c r="H38" s="27" t="str"/>
      <x:c r="I38" s="27" t="str"/>
      <x:c r="J38" s="27" t="str"/>
      <x:c r="K38" s="28" t="n">
        <x:f>IF(D38="",0,1+COUNTA(G38:J38))</x:f>
        <x:v>0</x:v>
      </x:c>
      <x:c r="L38" s="28" t="n">
        <x:f>IF(D38="",0,COUNTA(E38:J38))</x:f>
        <x:v>0</x:v>
      </x:c>
      <x:c r="M38" s="28" t="str">
        <x:f>IF(D38="","Reserved",IF(AND(E38&lt;&gt;"",F38&lt;&gt;"",COUNTA(G38:J38)=4,K38=5,L38=6),"Ready","Review"))</x:f>
        <x:v>Reserved</x:v>
      </x:c>
      <x:c r="N38" s="33" t="str">
        <x:v>Reserved for future monthly stimulus set</x:v>
      </x:c>
    </x:row>
    <x:row r="39" ht="24" customHeight="1">
      <x:c r="A39" s="27" t="str">
        <x:v>Future</x:v>
      </x:c>
      <x:c r="B39" s="28" t="n">
        <x:v>7</x:v>
      </x:c>
      <x:c r="C39" s="28" t="n">
        <x:v>2</x:v>
      </x:c>
      <x:c r="D39" s="27" t="str"/>
      <x:c r="E39" s="27" t="str"/>
      <x:c r="F39" s="27" t="str"/>
      <x:c r="G39" s="27" t="str"/>
      <x:c r="H39" s="27" t="str"/>
      <x:c r="I39" s="27" t="str"/>
      <x:c r="J39" s="27" t="str"/>
      <x:c r="K39" s="28" t="n">
        <x:f>IF(D39="",0,1+COUNTA(G39:J39))</x:f>
        <x:v>0</x:v>
      </x:c>
      <x:c r="L39" s="28" t="n">
        <x:f>IF(D39="",0,COUNTA(E39:J39))</x:f>
        <x:v>0</x:v>
      </x:c>
      <x:c r="M39" s="28" t="str">
        <x:f>IF(D39="","Reserved",IF(AND(E39&lt;&gt;"",F39&lt;&gt;"",COUNTA(G39:J39)=4,K39=5,L39=6),"Ready","Review"))</x:f>
        <x:v>Reserved</x:v>
      </x:c>
      <x:c r="N39" s="33" t="str">
        <x:v>Reserved for future monthly stimulus set</x:v>
      </x:c>
    </x:row>
    <x:row r="40" ht="24" customHeight="1">
      <x:c r="A40" s="27" t="str">
        <x:v>Future</x:v>
      </x:c>
      <x:c r="B40" s="28" t="n">
        <x:v>7</x:v>
      </x:c>
      <x:c r="C40" s="28" t="n">
        <x:v>3</x:v>
      </x:c>
      <x:c r="D40" s="27" t="str"/>
      <x:c r="E40" s="27" t="str"/>
      <x:c r="F40" s="27" t="str"/>
      <x:c r="G40" s="27" t="str"/>
      <x:c r="H40" s="27" t="str"/>
      <x:c r="I40" s="27" t="str"/>
      <x:c r="J40" s="27" t="str"/>
      <x:c r="K40" s="28" t="n">
        <x:f>IF(D40="",0,1+COUNTA(G40:J40))</x:f>
        <x:v>0</x:v>
      </x:c>
      <x:c r="L40" s="28" t="n">
        <x:f>IF(D40="",0,COUNTA(E40:J40))</x:f>
        <x:v>0</x:v>
      </x:c>
      <x:c r="M40" s="28" t="str">
        <x:f>IF(D40="","Reserved",IF(AND(E40&lt;&gt;"",F40&lt;&gt;"",COUNTA(G40:J40)=4,K40=5,L40=6),"Ready","Review"))</x:f>
        <x:v>Reserved</x:v>
      </x:c>
      <x:c r="N40" s="33" t="str">
        <x:v>Reserved for future monthly stimulus set</x:v>
      </x:c>
    </x:row>
    <x:row r="41" ht="24" customHeight="1">
      <x:c r="A41" s="27" t="str">
        <x:v>Future</x:v>
      </x:c>
      <x:c r="B41" s="28" t="n">
        <x:v>7</x:v>
      </x:c>
      <x:c r="C41" s="28" t="n">
        <x:v>4</x:v>
      </x:c>
      <x:c r="D41" s="27" t="str"/>
      <x:c r="E41" s="27" t="str"/>
      <x:c r="F41" s="27" t="str"/>
      <x:c r="G41" s="27" t="str"/>
      <x:c r="H41" s="27" t="str"/>
      <x:c r="I41" s="27" t="str"/>
      <x:c r="J41" s="27" t="str"/>
      <x:c r="K41" s="28" t="n">
        <x:f>IF(D41="",0,1+COUNTA(G41:J41))</x:f>
        <x:v>0</x:v>
      </x:c>
      <x:c r="L41" s="28" t="n">
        <x:f>IF(D41="",0,COUNTA(E41:J41))</x:f>
        <x:v>0</x:v>
      </x:c>
      <x:c r="M41" s="28" t="str">
        <x:f>IF(D41="","Reserved",IF(AND(E41&lt;&gt;"",F41&lt;&gt;"",COUNTA(G41:J41)=4,K41=5,L41=6),"Ready","Review"))</x:f>
        <x:v>Reserved</x:v>
      </x:c>
      <x:c r="N41" s="33" t="str">
        <x:v>Reserved for future monthly stimulus set</x:v>
      </x:c>
    </x:row>
    <x:row r="42" ht="24" customHeight="1">
      <x:c r="A42" s="27" t="str">
        <x:v>Future</x:v>
      </x:c>
      <x:c r="B42" s="28" t="n">
        <x:v>7</x:v>
      </x:c>
      <x:c r="C42" s="28" t="n">
        <x:v>5</x:v>
      </x:c>
      <x:c r="D42" s="27" t="str"/>
      <x:c r="E42" s="27" t="str"/>
      <x:c r="F42" s="27" t="str"/>
      <x:c r="G42" s="27" t="str"/>
      <x:c r="H42" s="27" t="str"/>
      <x:c r="I42" s="27" t="str"/>
      <x:c r="J42" s="27" t="str"/>
      <x:c r="K42" s="28" t="n">
        <x:f>IF(D42="",0,1+COUNTA(G42:J42))</x:f>
        <x:v>0</x:v>
      </x:c>
      <x:c r="L42" s="28" t="n">
        <x:f>IF(D42="",0,COUNTA(E42:J42))</x:f>
        <x:v>0</x:v>
      </x:c>
      <x:c r="M42" s="28" t="str">
        <x:f>IF(D42="","Reserved",IF(AND(E42&lt;&gt;"",F42&lt;&gt;"",COUNTA(G42:J42)=4,K42=5,L42=6),"Ready","Review"))</x:f>
        <x:v>Reserved</x:v>
      </x:c>
      <x:c r="N42" s="33" t="str">
        <x:v>Reserved for future monthly stimulus set</x:v>
      </x:c>
    </x:row>
    <x:row r="43" ht="24" customHeight="1">
      <x:c r="A43" s="27" t="str">
        <x:v>Future</x:v>
      </x:c>
      <x:c r="B43" s="28" t="n">
        <x:v>7</x:v>
      </x:c>
      <x:c r="C43" s="28" t="n">
        <x:v>6</x:v>
      </x:c>
      <x:c r="D43" s="27" t="str"/>
      <x:c r="E43" s="27" t="str"/>
      <x:c r="F43" s="27" t="str"/>
      <x:c r="G43" s="27" t="str"/>
      <x:c r="H43" s="27" t="str"/>
      <x:c r="I43" s="27" t="str"/>
      <x:c r="J43" s="27" t="str"/>
      <x:c r="K43" s="28" t="n">
        <x:f>IF(D43="",0,1+COUNTA(G43:J43))</x:f>
        <x:v>0</x:v>
      </x:c>
      <x:c r="L43" s="28" t="n">
        <x:f>IF(D43="",0,COUNTA(E43:J43))</x:f>
        <x:v>0</x:v>
      </x:c>
      <x:c r="M43" s="28" t="str">
        <x:f>IF(D43="","Reserved",IF(AND(E43&lt;&gt;"",F43&lt;&gt;"",COUNTA(G43:J43)=4,K43=5,L43=6),"Ready","Review"))</x:f>
        <x:v>Reserved</x:v>
      </x:c>
      <x:c r="N43" s="33" t="str">
        <x:v>Reserved for future monthly stimulus set</x:v>
      </x:c>
    </x:row>
    <x:row r="44" ht="24" customHeight="1">
      <x:c r="A44" s="27" t="str">
        <x:v>Future</x:v>
      </x:c>
      <x:c r="B44" s="28" t="n">
        <x:v>8</x:v>
      </x:c>
      <x:c r="C44" s="28" t="n">
        <x:v>1</x:v>
      </x:c>
      <x:c r="D44" s="27" t="str"/>
      <x:c r="E44" s="27" t="str"/>
      <x:c r="F44" s="27" t="str"/>
      <x:c r="G44" s="27" t="str"/>
      <x:c r="H44" s="27" t="str"/>
      <x:c r="I44" s="27" t="str"/>
      <x:c r="J44" s="27" t="str"/>
      <x:c r="K44" s="28" t="n">
        <x:f>IF(D44="",0,1+COUNTA(G44:J44))</x:f>
        <x:v>0</x:v>
      </x:c>
      <x:c r="L44" s="28" t="n">
        <x:f>IF(D44="",0,COUNTA(E44:J44))</x:f>
        <x:v>0</x:v>
      </x:c>
      <x:c r="M44" s="28" t="str">
        <x:f>IF(D44="","Reserved",IF(AND(E44&lt;&gt;"",F44&lt;&gt;"",COUNTA(G44:J44)=4,K44=5,L44=6),"Ready","Review"))</x:f>
        <x:v>Reserved</x:v>
      </x:c>
      <x:c r="N44" s="33" t="str">
        <x:v>Reserved for future monthly stimulus set</x:v>
      </x:c>
    </x:row>
    <x:row r="45" ht="24" customHeight="1">
      <x:c r="A45" s="27" t="str">
        <x:v>Future</x:v>
      </x:c>
      <x:c r="B45" s="28" t="n">
        <x:v>8</x:v>
      </x:c>
      <x:c r="C45" s="28" t="n">
        <x:v>2</x:v>
      </x:c>
      <x:c r="D45" s="27" t="str"/>
      <x:c r="E45" s="27" t="str"/>
      <x:c r="F45" s="27" t="str"/>
      <x:c r="G45" s="27" t="str"/>
      <x:c r="H45" s="27" t="str"/>
      <x:c r="I45" s="27" t="str"/>
      <x:c r="J45" s="27" t="str"/>
      <x:c r="K45" s="28" t="n">
        <x:f>IF(D45="",0,1+COUNTA(G45:J45))</x:f>
        <x:v>0</x:v>
      </x:c>
      <x:c r="L45" s="28" t="n">
        <x:f>IF(D45="",0,COUNTA(E45:J45))</x:f>
        <x:v>0</x:v>
      </x:c>
      <x:c r="M45" s="28" t="str">
        <x:f>IF(D45="","Reserved",IF(AND(E45&lt;&gt;"",F45&lt;&gt;"",COUNTA(G45:J45)=4,K45=5,L45=6),"Ready","Review"))</x:f>
        <x:v>Reserved</x:v>
      </x:c>
      <x:c r="N45" s="33" t="str">
        <x:v>Reserved for future monthly stimulus set</x:v>
      </x:c>
    </x:row>
    <x:row r="46" ht="24" customHeight="1">
      <x:c r="A46" s="27" t="str">
        <x:v>Future</x:v>
      </x:c>
      <x:c r="B46" s="28" t="n">
        <x:v>8</x:v>
      </x:c>
      <x:c r="C46" s="28" t="n">
        <x:v>3</x:v>
      </x:c>
      <x:c r="D46" s="27" t="str"/>
      <x:c r="E46" s="27" t="str"/>
      <x:c r="F46" s="27" t="str"/>
      <x:c r="G46" s="27" t="str"/>
      <x:c r="H46" s="27" t="str"/>
      <x:c r="I46" s="27" t="str"/>
      <x:c r="J46" s="27" t="str"/>
      <x:c r="K46" s="28" t="n">
        <x:f>IF(D46="",0,1+COUNTA(G46:J46))</x:f>
        <x:v>0</x:v>
      </x:c>
      <x:c r="L46" s="28" t="n">
        <x:f>IF(D46="",0,COUNTA(E46:J46))</x:f>
        <x:v>0</x:v>
      </x:c>
      <x:c r="M46" s="28" t="str">
        <x:f>IF(D46="","Reserved",IF(AND(E46&lt;&gt;"",F46&lt;&gt;"",COUNTA(G46:J46)=4,K46=5,L46=6),"Ready","Review"))</x:f>
        <x:v>Reserved</x:v>
      </x:c>
      <x:c r="N46" s="33" t="str">
        <x:v>Reserved for future monthly stimulus set</x:v>
      </x:c>
    </x:row>
    <x:row r="47" ht="24" customHeight="1">
      <x:c r="A47" s="27" t="str">
        <x:v>Future</x:v>
      </x:c>
      <x:c r="B47" s="28" t="n">
        <x:v>8</x:v>
      </x:c>
      <x:c r="C47" s="28" t="n">
        <x:v>4</x:v>
      </x:c>
      <x:c r="D47" s="27" t="str"/>
      <x:c r="E47" s="27" t="str"/>
      <x:c r="F47" s="27" t="str"/>
      <x:c r="G47" s="27" t="str"/>
      <x:c r="H47" s="27" t="str"/>
      <x:c r="I47" s="27" t="str"/>
      <x:c r="J47" s="27" t="str"/>
      <x:c r="K47" s="28" t="n">
        <x:f>IF(D47="",0,1+COUNTA(G47:J47))</x:f>
        <x:v>0</x:v>
      </x:c>
      <x:c r="L47" s="28" t="n">
        <x:f>IF(D47="",0,COUNTA(E47:J47))</x:f>
        <x:v>0</x:v>
      </x:c>
      <x:c r="M47" s="28" t="str">
        <x:f>IF(D47="","Reserved",IF(AND(E47&lt;&gt;"",F47&lt;&gt;"",COUNTA(G47:J47)=4,K47=5,L47=6),"Ready","Review"))</x:f>
        <x:v>Reserved</x:v>
      </x:c>
      <x:c r="N47" s="33" t="str">
        <x:v>Reserved for future monthly stimulus set</x:v>
      </x:c>
    </x:row>
    <x:row r="48" ht="24" customHeight="1">
      <x:c r="A48" s="27" t="str">
        <x:v>Future</x:v>
      </x:c>
      <x:c r="B48" s="28" t="n">
        <x:v>8</x:v>
      </x:c>
      <x:c r="C48" s="28" t="n">
        <x:v>5</x:v>
      </x:c>
      <x:c r="D48" s="27" t="str"/>
      <x:c r="E48" s="27" t="str"/>
      <x:c r="F48" s="27" t="str"/>
      <x:c r="G48" s="27" t="str"/>
      <x:c r="H48" s="27" t="str"/>
      <x:c r="I48" s="27" t="str"/>
      <x:c r="J48" s="27" t="str"/>
      <x:c r="K48" s="28" t="n">
        <x:f>IF(D48="",0,1+COUNTA(G48:J48))</x:f>
        <x:v>0</x:v>
      </x:c>
      <x:c r="L48" s="28" t="n">
        <x:f>IF(D48="",0,COUNTA(E48:J48))</x:f>
        <x:v>0</x:v>
      </x:c>
      <x:c r="M48" s="28" t="str">
        <x:f>IF(D48="","Reserved",IF(AND(E48&lt;&gt;"",F48&lt;&gt;"",COUNTA(G48:J48)=4,K48=5,L48=6),"Ready","Review"))</x:f>
        <x:v>Reserved</x:v>
      </x:c>
      <x:c r="N48" s="33" t="str">
        <x:v>Reserved for future monthly stimulus set</x:v>
      </x:c>
    </x:row>
    <x:row r="49" ht="24" customHeight="1">
      <x:c r="A49" s="27" t="str">
        <x:v>Future</x:v>
      </x:c>
      <x:c r="B49" s="28" t="n">
        <x:v>8</x:v>
      </x:c>
      <x:c r="C49" s="28" t="n">
        <x:v>6</x:v>
      </x:c>
      <x:c r="D49" s="27" t="str"/>
      <x:c r="E49" s="27" t="str"/>
      <x:c r="F49" s="27" t="str"/>
      <x:c r="G49" s="27" t="str"/>
      <x:c r="H49" s="27" t="str"/>
      <x:c r="I49" s="27" t="str"/>
      <x:c r="J49" s="27" t="str"/>
      <x:c r="K49" s="28" t="n">
        <x:f>IF(D49="",0,1+COUNTA(G49:J49))</x:f>
        <x:v>0</x:v>
      </x:c>
      <x:c r="L49" s="28" t="n">
        <x:f>IF(D49="",0,COUNTA(E49:J49))</x:f>
        <x:v>0</x:v>
      </x:c>
      <x:c r="M49" s="28" t="str">
        <x:f>IF(D49="","Reserved",IF(AND(E49&lt;&gt;"",F49&lt;&gt;"",COUNTA(G49:J49)=4,K49=5,L49=6),"Ready","Review"))</x:f>
        <x:v>Reserved</x:v>
      </x:c>
      <x:c r="N49" s="33" t="str">
        <x:v>Reserved for future monthly stimulus set</x:v>
      </x:c>
    </x:row>
    <x:row r="50" ht="24" customHeight="1">
      <x:c r="A50" s="27" t="str">
        <x:v>Future</x:v>
      </x:c>
      <x:c r="B50" s="28" t="n">
        <x:v>9</x:v>
      </x:c>
      <x:c r="C50" s="28" t="n">
        <x:v>1</x:v>
      </x:c>
      <x:c r="D50" s="27" t="str"/>
      <x:c r="E50" s="27" t="str"/>
      <x:c r="F50" s="27" t="str"/>
      <x:c r="G50" s="27" t="str"/>
      <x:c r="H50" s="27" t="str"/>
      <x:c r="I50" s="27" t="str"/>
      <x:c r="J50" s="27" t="str"/>
      <x:c r="K50" s="28" t="n">
        <x:f>IF(D50="",0,1+COUNTA(G50:J50))</x:f>
        <x:v>0</x:v>
      </x:c>
      <x:c r="L50" s="28" t="n">
        <x:f>IF(D50="",0,COUNTA(E50:J50))</x:f>
        <x:v>0</x:v>
      </x:c>
      <x:c r="M50" s="28" t="str">
        <x:f>IF(D50="","Reserved",IF(AND(E50&lt;&gt;"",F50&lt;&gt;"",COUNTA(G50:J50)=4,K50=5,L50=6),"Ready","Review"))</x:f>
        <x:v>Reserved</x:v>
      </x:c>
      <x:c r="N50" s="33" t="str">
        <x:v>Reserved for future monthly stimulus set</x:v>
      </x:c>
    </x:row>
    <x:row r="51" ht="24" customHeight="1">
      <x:c r="A51" s="27" t="str">
        <x:v>Future</x:v>
      </x:c>
      <x:c r="B51" s="28" t="n">
        <x:v>9</x:v>
      </x:c>
      <x:c r="C51" s="28" t="n">
        <x:v>2</x:v>
      </x:c>
      <x:c r="D51" s="27" t="str"/>
      <x:c r="E51" s="27" t="str"/>
      <x:c r="F51" s="27" t="str"/>
      <x:c r="G51" s="27" t="str"/>
      <x:c r="H51" s="27" t="str"/>
      <x:c r="I51" s="27" t="str"/>
      <x:c r="J51" s="27" t="str"/>
      <x:c r="K51" s="28" t="n">
        <x:f>IF(D51="",0,1+COUNTA(G51:J51))</x:f>
        <x:v>0</x:v>
      </x:c>
      <x:c r="L51" s="28" t="n">
        <x:f>IF(D51="",0,COUNTA(E51:J51))</x:f>
        <x:v>0</x:v>
      </x:c>
      <x:c r="M51" s="28" t="str">
        <x:f>IF(D51="","Reserved",IF(AND(E51&lt;&gt;"",F51&lt;&gt;"",COUNTA(G51:J51)=4,K51=5,L51=6),"Ready","Review"))</x:f>
        <x:v>Reserved</x:v>
      </x:c>
      <x:c r="N51" s="33" t="str">
        <x:v>Reserved for future monthly stimulus set</x:v>
      </x:c>
    </x:row>
    <x:row r="52" ht="24" customHeight="1">
      <x:c r="A52" s="27" t="str">
        <x:v>Future</x:v>
      </x:c>
      <x:c r="B52" s="28" t="n">
        <x:v>9</x:v>
      </x:c>
      <x:c r="C52" s="28" t="n">
        <x:v>3</x:v>
      </x:c>
      <x:c r="D52" s="27" t="str"/>
      <x:c r="E52" s="27" t="str"/>
      <x:c r="F52" s="27" t="str"/>
      <x:c r="G52" s="27" t="str"/>
      <x:c r="H52" s="27" t="str"/>
      <x:c r="I52" s="27" t="str"/>
      <x:c r="J52" s="27" t="str"/>
      <x:c r="K52" s="28" t="n">
        <x:f>IF(D52="",0,1+COUNTA(G52:J52))</x:f>
        <x:v>0</x:v>
      </x:c>
      <x:c r="L52" s="28" t="n">
        <x:f>IF(D52="",0,COUNTA(E52:J52))</x:f>
        <x:v>0</x:v>
      </x:c>
      <x:c r="M52" s="28" t="str">
        <x:f>IF(D52="","Reserved",IF(AND(E52&lt;&gt;"",F52&lt;&gt;"",COUNTA(G52:J52)=4,K52=5,L52=6),"Ready","Review"))</x:f>
        <x:v>Reserved</x:v>
      </x:c>
      <x:c r="N52" s="33" t="str">
        <x:v>Reserved for future monthly stimulus set</x:v>
      </x:c>
    </x:row>
    <x:row r="53" ht="24" customHeight="1">
      <x:c r="A53" s="27" t="str">
        <x:v>Future</x:v>
      </x:c>
      <x:c r="B53" s="28" t="n">
        <x:v>9</x:v>
      </x:c>
      <x:c r="C53" s="28" t="n">
        <x:v>4</x:v>
      </x:c>
      <x:c r="D53" s="27" t="str"/>
      <x:c r="E53" s="27" t="str"/>
      <x:c r="F53" s="27" t="str"/>
      <x:c r="G53" s="27" t="str"/>
      <x:c r="H53" s="27" t="str"/>
      <x:c r="I53" s="27" t="str"/>
      <x:c r="J53" s="27" t="str"/>
      <x:c r="K53" s="28" t="n">
        <x:f>IF(D53="",0,1+COUNTA(G53:J53))</x:f>
        <x:v>0</x:v>
      </x:c>
      <x:c r="L53" s="28" t="n">
        <x:f>IF(D53="",0,COUNTA(E53:J53))</x:f>
        <x:v>0</x:v>
      </x:c>
      <x:c r="M53" s="28" t="str">
        <x:f>IF(D53="","Reserved",IF(AND(E53&lt;&gt;"",F53&lt;&gt;"",COUNTA(G53:J53)=4,K53=5,L53=6),"Ready","Review"))</x:f>
        <x:v>Reserved</x:v>
      </x:c>
      <x:c r="N53" s="33" t="str">
        <x:v>Reserved for future monthly stimulus set</x:v>
      </x:c>
    </x:row>
    <x:row r="54" ht="24" customHeight="1">
      <x:c r="A54" s="27" t="str">
        <x:v>Future</x:v>
      </x:c>
      <x:c r="B54" s="28" t="n">
        <x:v>9</x:v>
      </x:c>
      <x:c r="C54" s="28" t="n">
        <x:v>5</x:v>
      </x:c>
      <x:c r="D54" s="27" t="str"/>
      <x:c r="E54" s="27" t="str"/>
      <x:c r="F54" s="27" t="str"/>
      <x:c r="G54" s="27" t="str"/>
      <x:c r="H54" s="27" t="str"/>
      <x:c r="I54" s="27" t="str"/>
      <x:c r="J54" s="27" t="str"/>
      <x:c r="K54" s="28" t="n">
        <x:f>IF(D54="",0,1+COUNTA(G54:J54))</x:f>
        <x:v>0</x:v>
      </x:c>
      <x:c r="L54" s="28" t="n">
        <x:f>IF(D54="",0,COUNTA(E54:J54))</x:f>
        <x:v>0</x:v>
      </x:c>
      <x:c r="M54" s="28" t="str">
        <x:f>IF(D54="","Reserved",IF(AND(E54&lt;&gt;"",F54&lt;&gt;"",COUNTA(G54:J54)=4,K54=5,L54=6),"Ready","Review"))</x:f>
        <x:v>Reserved</x:v>
      </x:c>
      <x:c r="N54" s="33" t="str">
        <x:v>Reserved for future monthly stimulus set</x:v>
      </x:c>
    </x:row>
    <x:row r="55" ht="24" customHeight="1">
      <x:c r="A55" s="27" t="str">
        <x:v>Future</x:v>
      </x:c>
      <x:c r="B55" s="28" t="n">
        <x:v>9</x:v>
      </x:c>
      <x:c r="C55" s="28" t="n">
        <x:v>6</x:v>
      </x:c>
      <x:c r="D55" s="27" t="str"/>
      <x:c r="E55" s="27" t="str"/>
      <x:c r="F55" s="27" t="str"/>
      <x:c r="G55" s="27" t="str"/>
      <x:c r="H55" s="27" t="str"/>
      <x:c r="I55" s="27" t="str"/>
      <x:c r="J55" s="27" t="str"/>
      <x:c r="K55" s="28" t="n">
        <x:f>IF(D55="",0,1+COUNTA(G55:J55))</x:f>
        <x:v>0</x:v>
      </x:c>
      <x:c r="L55" s="28" t="n">
        <x:f>IF(D55="",0,COUNTA(E55:J55))</x:f>
        <x:v>0</x:v>
      </x:c>
      <x:c r="M55" s="28" t="str">
        <x:f>IF(D55="","Reserved",IF(AND(E55&lt;&gt;"",F55&lt;&gt;"",COUNTA(G55:J55)=4,K55=5,L55=6),"Ready","Review"))</x:f>
        <x:v>Reserved</x:v>
      </x:c>
      <x:c r="N55" s="33" t="str">
        <x:v>Reserved for future monthly stimulus set</x:v>
      </x:c>
    </x:row>
    <x:row r="56" ht="24" customHeight="1">
      <x:c r="A56" s="27" t="str">
        <x:v>Future</x:v>
      </x:c>
      <x:c r="B56" s="28" t="n">
        <x:v>10</x:v>
      </x:c>
      <x:c r="C56" s="28" t="n">
        <x:v>1</x:v>
      </x:c>
      <x:c r="D56" s="27" t="str"/>
      <x:c r="E56" s="27" t="str"/>
      <x:c r="F56" s="27" t="str"/>
      <x:c r="G56" s="27" t="str"/>
      <x:c r="H56" s="27" t="str"/>
      <x:c r="I56" s="27" t="str"/>
      <x:c r="J56" s="27" t="str"/>
      <x:c r="K56" s="28" t="n">
        <x:f>IF(D56="",0,1+COUNTA(G56:J56))</x:f>
        <x:v>0</x:v>
      </x:c>
      <x:c r="L56" s="28" t="n">
        <x:f>IF(D56="",0,COUNTA(E56:J56))</x:f>
        <x:v>0</x:v>
      </x:c>
      <x:c r="M56" s="28" t="str">
        <x:f>IF(D56="","Reserved",IF(AND(E56&lt;&gt;"",F56&lt;&gt;"",COUNTA(G56:J56)=4,K56=5,L56=6),"Ready","Review"))</x:f>
        <x:v>Reserved</x:v>
      </x:c>
      <x:c r="N56" s="33" t="str">
        <x:v>Reserved for future monthly stimulus set</x:v>
      </x:c>
    </x:row>
    <x:row r="57" ht="24" customHeight="1">
      <x:c r="A57" s="27" t="str">
        <x:v>Future</x:v>
      </x:c>
      <x:c r="B57" s="28" t="n">
        <x:v>10</x:v>
      </x:c>
      <x:c r="C57" s="28" t="n">
        <x:v>2</x:v>
      </x:c>
      <x:c r="D57" s="27" t="str"/>
      <x:c r="E57" s="27" t="str"/>
      <x:c r="F57" s="27" t="str"/>
      <x:c r="G57" s="27" t="str"/>
      <x:c r="H57" s="27" t="str"/>
      <x:c r="I57" s="27" t="str"/>
      <x:c r="J57" s="27" t="str"/>
      <x:c r="K57" s="28" t="n">
        <x:f>IF(D57="",0,1+COUNTA(G57:J57))</x:f>
        <x:v>0</x:v>
      </x:c>
      <x:c r="L57" s="28" t="n">
        <x:f>IF(D57="",0,COUNTA(E57:J57))</x:f>
        <x:v>0</x:v>
      </x:c>
      <x:c r="M57" s="28" t="str">
        <x:f>IF(D57="","Reserved",IF(AND(E57&lt;&gt;"",F57&lt;&gt;"",COUNTA(G57:J57)=4,K57=5,L57=6),"Ready","Review"))</x:f>
        <x:v>Reserved</x:v>
      </x:c>
      <x:c r="N57" s="33" t="str">
        <x:v>Reserved for future monthly stimulus set</x:v>
      </x:c>
    </x:row>
    <x:row r="58" ht="24" customHeight="1">
      <x:c r="A58" s="27" t="str">
        <x:v>Future</x:v>
      </x:c>
      <x:c r="B58" s="28" t="n">
        <x:v>10</x:v>
      </x:c>
      <x:c r="C58" s="28" t="n">
        <x:v>3</x:v>
      </x:c>
      <x:c r="D58" s="27" t="str"/>
      <x:c r="E58" s="27" t="str"/>
      <x:c r="F58" s="27" t="str"/>
      <x:c r="G58" s="27" t="str"/>
      <x:c r="H58" s="27" t="str"/>
      <x:c r="I58" s="27" t="str"/>
      <x:c r="J58" s="27" t="str"/>
      <x:c r="K58" s="28" t="n">
        <x:f>IF(D58="",0,1+COUNTA(G58:J58))</x:f>
        <x:v>0</x:v>
      </x:c>
      <x:c r="L58" s="28" t="n">
        <x:f>IF(D58="",0,COUNTA(E58:J58))</x:f>
        <x:v>0</x:v>
      </x:c>
      <x:c r="M58" s="28" t="str">
        <x:f>IF(D58="","Reserved",IF(AND(E58&lt;&gt;"",F58&lt;&gt;"",COUNTA(G58:J58)=4,K58=5,L58=6),"Ready","Review"))</x:f>
        <x:v>Reserved</x:v>
      </x:c>
      <x:c r="N58" s="33" t="str">
        <x:v>Reserved for future monthly stimulus set</x:v>
      </x:c>
    </x:row>
    <x:row r="59" ht="24" customHeight="1">
      <x:c r="A59" s="27" t="str">
        <x:v>Future</x:v>
      </x:c>
      <x:c r="B59" s="28" t="n">
        <x:v>10</x:v>
      </x:c>
      <x:c r="C59" s="28" t="n">
        <x:v>4</x:v>
      </x:c>
      <x:c r="D59" s="27" t="str"/>
      <x:c r="E59" s="27" t="str"/>
      <x:c r="F59" s="27" t="str"/>
      <x:c r="G59" s="27" t="str"/>
      <x:c r="H59" s="27" t="str"/>
      <x:c r="I59" s="27" t="str"/>
      <x:c r="J59" s="27" t="str"/>
      <x:c r="K59" s="28" t="n">
        <x:f>IF(D59="",0,1+COUNTA(G59:J59))</x:f>
        <x:v>0</x:v>
      </x:c>
      <x:c r="L59" s="28" t="n">
        <x:f>IF(D59="",0,COUNTA(E59:J59))</x:f>
        <x:v>0</x:v>
      </x:c>
      <x:c r="M59" s="28" t="str">
        <x:f>IF(D59="","Reserved",IF(AND(E59&lt;&gt;"",F59&lt;&gt;"",COUNTA(G59:J59)=4,K59=5,L59=6),"Ready","Review"))</x:f>
        <x:v>Reserved</x:v>
      </x:c>
      <x:c r="N59" s="33" t="str">
        <x:v>Reserved for future monthly stimulus set</x:v>
      </x:c>
    </x:row>
    <x:row r="60" ht="24" customHeight="1">
      <x:c r="A60" s="27" t="str">
        <x:v>Future</x:v>
      </x:c>
      <x:c r="B60" s="28" t="n">
        <x:v>10</x:v>
      </x:c>
      <x:c r="C60" s="28" t="n">
        <x:v>5</x:v>
      </x:c>
      <x:c r="D60" s="27" t="str"/>
      <x:c r="E60" s="27" t="str"/>
      <x:c r="F60" s="27" t="str"/>
      <x:c r="G60" s="27" t="str"/>
      <x:c r="H60" s="27" t="str"/>
      <x:c r="I60" s="27" t="str"/>
      <x:c r="J60" s="27" t="str"/>
      <x:c r="K60" s="28" t="n">
        <x:f>IF(D60="",0,1+COUNTA(G60:J60))</x:f>
        <x:v>0</x:v>
      </x:c>
      <x:c r="L60" s="28" t="n">
        <x:f>IF(D60="",0,COUNTA(E60:J60))</x:f>
        <x:v>0</x:v>
      </x:c>
      <x:c r="M60" s="28" t="str">
        <x:f>IF(D60="","Reserved",IF(AND(E60&lt;&gt;"",F60&lt;&gt;"",COUNTA(G60:J60)=4,K60=5,L60=6),"Ready","Review"))</x:f>
        <x:v>Reserved</x:v>
      </x:c>
      <x:c r="N60" s="33" t="str">
        <x:v>Reserved for future monthly stimulus set</x:v>
      </x:c>
    </x:row>
    <x:row r="61" ht="24" customHeight="1">
      <x:c r="A61" s="27" t="str">
        <x:v>Future</x:v>
      </x:c>
      <x:c r="B61" s="28" t="n">
        <x:v>10</x:v>
      </x:c>
      <x:c r="C61" s="28" t="n">
        <x:v>6</x:v>
      </x:c>
      <x:c r="D61" s="27" t="str"/>
      <x:c r="E61" s="27" t="str"/>
      <x:c r="F61" s="27" t="str"/>
      <x:c r="G61" s="27" t="str"/>
      <x:c r="H61" s="27" t="str"/>
      <x:c r="I61" s="27" t="str"/>
      <x:c r="J61" s="27" t="str"/>
      <x:c r="K61" s="28" t="n">
        <x:f>IF(D61="",0,1+COUNTA(G61:J61))</x:f>
        <x:v>0</x:v>
      </x:c>
      <x:c r="L61" s="28" t="n">
        <x:f>IF(D61="",0,COUNTA(E61:J61))</x:f>
        <x:v>0</x:v>
      </x:c>
      <x:c r="M61" s="28" t="str">
        <x:f>IF(D61="","Reserved",IF(AND(E61&lt;&gt;"",F61&lt;&gt;"",COUNTA(G61:J61)=4,K61=5,L61=6),"Ready","Review"))</x:f>
        <x:v>Reserved</x:v>
      </x:c>
      <x:c r="N61" s="33" t="str">
        <x:v>Reserved for future monthly stimulus set</x:v>
      </x:c>
    </x:row>
    <x:row r="62" ht="24" customHeight="1">
      <x:c r="A62" s="27" t="str">
        <x:v>Future</x:v>
      </x:c>
      <x:c r="B62" s="28" t="n">
        <x:v>11</x:v>
      </x:c>
      <x:c r="C62" s="28" t="n">
        <x:v>1</x:v>
      </x:c>
      <x:c r="D62" s="27" t="str"/>
      <x:c r="E62" s="27" t="str"/>
      <x:c r="F62" s="27" t="str"/>
      <x:c r="G62" s="27" t="str"/>
      <x:c r="H62" s="27" t="str"/>
      <x:c r="I62" s="27" t="str"/>
      <x:c r="J62" s="27" t="str"/>
      <x:c r="K62" s="28" t="n">
        <x:f>IF(D62="",0,1+COUNTA(G62:J62))</x:f>
        <x:v>0</x:v>
      </x:c>
      <x:c r="L62" s="28" t="n">
        <x:f>IF(D62="",0,COUNTA(E62:J62))</x:f>
        <x:v>0</x:v>
      </x:c>
      <x:c r="M62" s="28" t="str">
        <x:f>IF(D62="","Reserved",IF(AND(E62&lt;&gt;"",F62&lt;&gt;"",COUNTA(G62:J62)=4,K62=5,L62=6),"Ready","Review"))</x:f>
        <x:v>Reserved</x:v>
      </x:c>
      <x:c r="N62" s="33" t="str">
        <x:v>Reserved for future monthly stimulus set</x:v>
      </x:c>
    </x:row>
    <x:row r="63" ht="24" customHeight="1">
      <x:c r="A63" s="27" t="str">
        <x:v>Future</x:v>
      </x:c>
      <x:c r="B63" s="28" t="n">
        <x:v>11</x:v>
      </x:c>
      <x:c r="C63" s="28" t="n">
        <x:v>2</x:v>
      </x:c>
      <x:c r="D63" s="27" t="str"/>
      <x:c r="E63" s="27" t="str"/>
      <x:c r="F63" s="27" t="str"/>
      <x:c r="G63" s="27" t="str"/>
      <x:c r="H63" s="27" t="str"/>
      <x:c r="I63" s="27" t="str"/>
      <x:c r="J63" s="27" t="str"/>
      <x:c r="K63" s="28" t="n">
        <x:f>IF(D63="",0,1+COUNTA(G63:J63))</x:f>
        <x:v>0</x:v>
      </x:c>
      <x:c r="L63" s="28" t="n">
        <x:f>IF(D63="",0,COUNTA(E63:J63))</x:f>
        <x:v>0</x:v>
      </x:c>
      <x:c r="M63" s="28" t="str">
        <x:f>IF(D63="","Reserved",IF(AND(E63&lt;&gt;"",F63&lt;&gt;"",COUNTA(G63:J63)=4,K63=5,L63=6),"Ready","Review"))</x:f>
        <x:v>Reserved</x:v>
      </x:c>
      <x:c r="N63" s="33" t="str">
        <x:v>Reserved for future monthly stimulus set</x:v>
      </x:c>
    </x:row>
    <x:row r="64" ht="24" customHeight="1">
      <x:c r="A64" s="27" t="str">
        <x:v>Future</x:v>
      </x:c>
      <x:c r="B64" s="28" t="n">
        <x:v>11</x:v>
      </x:c>
      <x:c r="C64" s="28" t="n">
        <x:v>3</x:v>
      </x:c>
      <x:c r="D64" s="27" t="str"/>
      <x:c r="E64" s="27" t="str"/>
      <x:c r="F64" s="27" t="str"/>
      <x:c r="G64" s="27" t="str"/>
      <x:c r="H64" s="27" t="str"/>
      <x:c r="I64" s="27" t="str"/>
      <x:c r="J64" s="27" t="str"/>
      <x:c r="K64" s="28" t="n">
        <x:f>IF(D64="",0,1+COUNTA(G64:J64))</x:f>
        <x:v>0</x:v>
      </x:c>
      <x:c r="L64" s="28" t="n">
        <x:f>IF(D64="",0,COUNTA(E64:J64))</x:f>
        <x:v>0</x:v>
      </x:c>
      <x:c r="M64" s="28" t="str">
        <x:f>IF(D64="","Reserved",IF(AND(E64&lt;&gt;"",F64&lt;&gt;"",COUNTA(G64:J64)=4,K64=5,L64=6),"Ready","Review"))</x:f>
        <x:v>Reserved</x:v>
      </x:c>
      <x:c r="N64" s="33" t="str">
        <x:v>Reserved for future monthly stimulus set</x:v>
      </x:c>
    </x:row>
    <x:row r="65" ht="24" customHeight="1">
      <x:c r="A65" s="27" t="str">
        <x:v>Future</x:v>
      </x:c>
      <x:c r="B65" s="28" t="n">
        <x:v>11</x:v>
      </x:c>
      <x:c r="C65" s="28" t="n">
        <x:v>4</x:v>
      </x:c>
      <x:c r="D65" s="27" t="str"/>
      <x:c r="E65" s="27" t="str"/>
      <x:c r="F65" s="27" t="str"/>
      <x:c r="G65" s="27" t="str"/>
      <x:c r="H65" s="27" t="str"/>
      <x:c r="I65" s="27" t="str"/>
      <x:c r="J65" s="27" t="str"/>
      <x:c r="K65" s="28" t="n">
        <x:f>IF(D65="",0,1+COUNTA(G65:J65))</x:f>
        <x:v>0</x:v>
      </x:c>
      <x:c r="L65" s="28" t="n">
        <x:f>IF(D65="",0,COUNTA(E65:J65))</x:f>
        <x:v>0</x:v>
      </x:c>
      <x:c r="M65" s="28" t="str">
        <x:f>IF(D65="","Reserved",IF(AND(E65&lt;&gt;"",F65&lt;&gt;"",COUNTA(G65:J65)=4,K65=5,L65=6),"Ready","Review"))</x:f>
        <x:v>Reserved</x:v>
      </x:c>
      <x:c r="N65" s="33" t="str">
        <x:v>Reserved for future monthly stimulus set</x:v>
      </x:c>
    </x:row>
    <x:row r="66" ht="24" customHeight="1">
      <x:c r="A66" s="27" t="str">
        <x:v>Future</x:v>
      </x:c>
      <x:c r="B66" s="28" t="n">
        <x:v>11</x:v>
      </x:c>
      <x:c r="C66" s="28" t="n">
        <x:v>5</x:v>
      </x:c>
      <x:c r="D66" s="27" t="str"/>
      <x:c r="E66" s="27" t="str"/>
      <x:c r="F66" s="27" t="str"/>
      <x:c r="G66" s="27" t="str"/>
      <x:c r="H66" s="27" t="str"/>
      <x:c r="I66" s="27" t="str"/>
      <x:c r="J66" s="27" t="str"/>
      <x:c r="K66" s="28" t="n">
        <x:f>IF(D66="",0,1+COUNTA(G66:J66))</x:f>
        <x:v>0</x:v>
      </x:c>
      <x:c r="L66" s="28" t="n">
        <x:f>IF(D66="",0,COUNTA(E66:J66))</x:f>
        <x:v>0</x:v>
      </x:c>
      <x:c r="M66" s="28" t="str">
        <x:f>IF(D66="","Reserved",IF(AND(E66&lt;&gt;"",F66&lt;&gt;"",COUNTA(G66:J66)=4,K66=5,L66=6),"Ready","Review"))</x:f>
        <x:v>Reserved</x:v>
      </x:c>
      <x:c r="N66" s="33" t="str">
        <x:v>Reserved for future monthly stimulus set</x:v>
      </x:c>
    </x:row>
    <x:row r="67" ht="24" customHeight="1">
      <x:c r="A67" s="27" t="str">
        <x:v>Future</x:v>
      </x:c>
      <x:c r="B67" s="28" t="n">
        <x:v>11</x:v>
      </x:c>
      <x:c r="C67" s="28" t="n">
        <x:v>6</x:v>
      </x:c>
      <x:c r="D67" s="27" t="str"/>
      <x:c r="E67" s="27" t="str"/>
      <x:c r="F67" s="27" t="str"/>
      <x:c r="G67" s="27" t="str"/>
      <x:c r="H67" s="27" t="str"/>
      <x:c r="I67" s="27" t="str"/>
      <x:c r="J67" s="27" t="str"/>
      <x:c r="K67" s="28" t="n">
        <x:f>IF(D67="",0,1+COUNTA(G67:J67))</x:f>
        <x:v>0</x:v>
      </x:c>
      <x:c r="L67" s="28" t="n">
        <x:f>IF(D67="",0,COUNTA(E67:J67))</x:f>
        <x:v>0</x:v>
      </x:c>
      <x:c r="M67" s="28" t="str">
        <x:f>IF(D67="","Reserved",IF(AND(E67&lt;&gt;"",F67&lt;&gt;"",COUNTA(G67:J67)=4,K67=5,L67=6),"Ready","Review"))</x:f>
        <x:v>Reserved</x:v>
      </x:c>
      <x:c r="N67" s="33" t="str">
        <x:v>Reserved for future monthly stimulus set</x:v>
      </x:c>
    </x:row>
    <x:row r="68" ht="24" customHeight="1">
      <x:c r="A68" s="27" t="str">
        <x:v>Future</x:v>
      </x:c>
      <x:c r="B68" s="28" t="n">
        <x:v>12</x:v>
      </x:c>
      <x:c r="C68" s="28" t="n">
        <x:v>1</x:v>
      </x:c>
      <x:c r="D68" s="27" t="str"/>
      <x:c r="E68" s="27" t="str"/>
      <x:c r="F68" s="27" t="str"/>
      <x:c r="G68" s="27" t="str"/>
      <x:c r="H68" s="27" t="str"/>
      <x:c r="I68" s="27" t="str"/>
      <x:c r="J68" s="27" t="str"/>
      <x:c r="K68" s="28" t="n">
        <x:f>IF(D68="",0,1+COUNTA(G68:J68))</x:f>
        <x:v>0</x:v>
      </x:c>
      <x:c r="L68" s="28" t="n">
        <x:f>IF(D68="",0,COUNTA(E68:J68))</x:f>
        <x:v>0</x:v>
      </x:c>
      <x:c r="M68" s="28" t="str">
        <x:f>IF(D68="","Reserved",IF(AND(E68&lt;&gt;"",F68&lt;&gt;"",COUNTA(G68:J68)=4,K68=5,L68=6),"Ready","Review"))</x:f>
        <x:v>Reserved</x:v>
      </x:c>
      <x:c r="N68" s="33" t="str">
        <x:v>Reserved for future monthly stimulus set</x:v>
      </x:c>
    </x:row>
    <x:row r="69" ht="24" customHeight="1">
      <x:c r="A69" s="27" t="str">
        <x:v>Future</x:v>
      </x:c>
      <x:c r="B69" s="28" t="n">
        <x:v>12</x:v>
      </x:c>
      <x:c r="C69" s="28" t="n">
        <x:v>2</x:v>
      </x:c>
      <x:c r="D69" s="27" t="str"/>
      <x:c r="E69" s="27" t="str"/>
      <x:c r="F69" s="27" t="str"/>
      <x:c r="G69" s="27" t="str"/>
      <x:c r="H69" s="27" t="str"/>
      <x:c r="I69" s="27" t="str"/>
      <x:c r="J69" s="27" t="str"/>
      <x:c r="K69" s="28" t="n">
        <x:f>IF(D69="",0,1+COUNTA(G69:J69))</x:f>
        <x:v>0</x:v>
      </x:c>
      <x:c r="L69" s="28" t="n">
        <x:f>IF(D69="",0,COUNTA(E69:J69))</x:f>
        <x:v>0</x:v>
      </x:c>
      <x:c r="M69" s="28" t="str">
        <x:f>IF(D69="","Reserved",IF(AND(E69&lt;&gt;"",F69&lt;&gt;"",COUNTA(G69:J69)=4,K69=5,L69=6),"Ready","Review"))</x:f>
        <x:v>Reserved</x:v>
      </x:c>
      <x:c r="N69" s="33" t="str">
        <x:v>Reserved for future monthly stimulus set</x:v>
      </x:c>
    </x:row>
    <x:row r="70" ht="24" customHeight="1">
      <x:c r="A70" s="27" t="str">
        <x:v>Future</x:v>
      </x:c>
      <x:c r="B70" s="28" t="n">
        <x:v>12</x:v>
      </x:c>
      <x:c r="C70" s="28" t="n">
        <x:v>3</x:v>
      </x:c>
      <x:c r="D70" s="27" t="str"/>
      <x:c r="E70" s="27" t="str"/>
      <x:c r="F70" s="27" t="str"/>
      <x:c r="G70" s="27" t="str"/>
      <x:c r="H70" s="27" t="str"/>
      <x:c r="I70" s="27" t="str"/>
      <x:c r="J70" s="27" t="str"/>
      <x:c r="K70" s="28" t="n">
        <x:f>IF(D70="",0,1+COUNTA(G70:J70))</x:f>
        <x:v>0</x:v>
      </x:c>
      <x:c r="L70" s="28" t="n">
        <x:f>IF(D70="",0,COUNTA(E70:J70))</x:f>
        <x:v>0</x:v>
      </x:c>
      <x:c r="M70" s="28" t="str">
        <x:f>IF(D70="","Reserved",IF(AND(E70&lt;&gt;"",F70&lt;&gt;"",COUNTA(G70:J70)=4,K70=5,L70=6),"Ready","Review"))</x:f>
        <x:v>Reserved</x:v>
      </x:c>
      <x:c r="N70" s="33" t="str">
        <x:v>Reserved for future monthly stimulus set</x:v>
      </x:c>
    </x:row>
    <x:row r="71" ht="24" customHeight="1">
      <x:c r="A71" s="27" t="str">
        <x:v>Future</x:v>
      </x:c>
      <x:c r="B71" s="28" t="n">
        <x:v>12</x:v>
      </x:c>
      <x:c r="C71" s="28" t="n">
        <x:v>4</x:v>
      </x:c>
      <x:c r="D71" s="27" t="str"/>
      <x:c r="E71" s="27" t="str"/>
      <x:c r="F71" s="27" t="str"/>
      <x:c r="G71" s="27" t="str"/>
      <x:c r="H71" s="27" t="str"/>
      <x:c r="I71" s="27" t="str"/>
      <x:c r="J71" s="27" t="str"/>
      <x:c r="K71" s="28" t="n">
        <x:f>IF(D71="",0,1+COUNTA(G71:J71))</x:f>
        <x:v>0</x:v>
      </x:c>
      <x:c r="L71" s="28" t="n">
        <x:f>IF(D71="",0,COUNTA(E71:J71))</x:f>
        <x:v>0</x:v>
      </x:c>
      <x:c r="M71" s="28" t="str">
        <x:f>IF(D71="","Reserved",IF(AND(E71&lt;&gt;"",F71&lt;&gt;"",COUNTA(G71:J71)=4,K71=5,L71=6),"Ready","Review"))</x:f>
        <x:v>Reserved</x:v>
      </x:c>
      <x:c r="N71" s="33" t="str">
        <x:v>Reserved for future monthly stimulus set</x:v>
      </x:c>
    </x:row>
    <x:row r="72" ht="24" customHeight="1">
      <x:c r="A72" s="27" t="str">
        <x:v>Future</x:v>
      </x:c>
      <x:c r="B72" s="28" t="n">
        <x:v>12</x:v>
      </x:c>
      <x:c r="C72" s="28" t="n">
        <x:v>5</x:v>
      </x:c>
      <x:c r="D72" s="27" t="str"/>
      <x:c r="E72" s="27" t="str"/>
      <x:c r="F72" s="27" t="str"/>
      <x:c r="G72" s="27" t="str"/>
      <x:c r="H72" s="27" t="str"/>
      <x:c r="I72" s="27" t="str"/>
      <x:c r="J72" s="27" t="str"/>
      <x:c r="K72" s="28" t="n">
        <x:f>IF(D72="",0,1+COUNTA(G72:J72))</x:f>
        <x:v>0</x:v>
      </x:c>
      <x:c r="L72" s="28" t="n">
        <x:f>IF(D72="",0,COUNTA(E72:J72))</x:f>
        <x:v>0</x:v>
      </x:c>
      <x:c r="M72" s="28" t="str">
        <x:f>IF(D72="","Reserved",IF(AND(E72&lt;&gt;"",F72&lt;&gt;"",COUNTA(G72:J72)=4,K72=5,L72=6),"Ready","Review"))</x:f>
        <x:v>Reserved</x:v>
      </x:c>
      <x:c r="N72" s="33" t="str">
        <x:v>Reserved for future monthly stimulus set</x:v>
      </x:c>
    </x:row>
    <x:row r="73" ht="24" customHeight="1">
      <x:c r="A73" s="29" t="str">
        <x:v>Future</x:v>
      </x:c>
      <x:c r="B73" s="30" t="n">
        <x:v>12</x:v>
      </x:c>
      <x:c r="C73" s="30" t="n">
        <x:v>6</x:v>
      </x:c>
      <x:c r="D73" s="29" t="str"/>
      <x:c r="E73" s="29" t="str"/>
      <x:c r="F73" s="29" t="str"/>
      <x:c r="G73" s="29" t="str"/>
      <x:c r="H73" s="29" t="str"/>
      <x:c r="I73" s="29" t="str"/>
      <x:c r="J73" s="29" t="str"/>
      <x:c r="K73" s="30" t="n">
        <x:f>IF(D73="",0,1+COUNTA(G73:J73))</x:f>
        <x:v>0</x:v>
      </x:c>
      <x:c r="L73" s="30" t="n">
        <x:f>IF(D73="",0,COUNTA(E73:J73))</x:f>
        <x:v>0</x:v>
      </x:c>
      <x:c r="M73" s="30" t="str">
        <x:f>IF(D73="","Reserved",IF(AND(E73&lt;&gt;"",F73&lt;&gt;"",COUNTA(G73:J73)=4,K73=5,L73=6),"Ready","Review"))</x:f>
        <x:v>Reserved</x:v>
      </x:c>
      <x:c r="N73" s="34" t="str">
        <x:v>Reserved for future monthly stimulus set</x:v>
      </x:c>
    </x:row>
  </x:sheetData>
  <x:conditionalFormatting sqref="M2:M73">
    <x:cfRule type="containsText" dxfId="0" priority="1" operator="containsText" text="Ready"/>
    <x:cfRule type="containsText" dxfId="1" priority="2" operator="containsText" text="Review"/>
    <x:cfRule type="containsText" dxfId="2" priority="3" operator="containsText" text="Reserved"/>
  </x:conditionalFormatting>
  <x:pageMargins left="0.7" right="0.7" top="0.75" bottom="0.75" header="0.3" footer="0.3"/>
  <x:tableParts count="1">
    <x:tablePart xmlns:r="http://schemas.openxmlformats.org/officeDocument/2006/relationships" r:id="R8e554e6da4e341b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8" hidden="0" customWidth="1"/>
  </x:cols>
  <x:sheetData>
    <x:row r="1" ht="32" customHeight="1">
      <x:c r="A1" s="43" t="str">
        <x:v>FunnyMemory Stimulus Protocol</x:v>
      </x:c>
      <x:c r="B1" s="43"/>
    </x:row>
    <x:row r="2">
      <x:c r="A2" s="44"/>
      <x:c r="B2" s="44"/>
    </x:row>
    <x:row r="3" ht="15" hidden="0" customHeight="1">
      <x:c r="A3" s="52" t="str">
        <x:v>Element</x:v>
      </x:c>
      <x:c r="B3" s="52" t="str">
        <x:v>Definition</x:v>
      </x:c>
    </x:row>
    <x:row r="4" ht="15" hidden="0" customHeight="1">
      <x:c r="A4" s="53" t="str">
        <x:v>Primary image</x:v>
      </x:c>
      <x:c r="B4" s="53" t="str">
        <x:v>The 01 image shown during learning and the correct recognition choice.</x:v>
      </x:c>
    </x:row>
    <x:row r="5" ht="15" hidden="0" customHeight="1">
      <x:c r="A5" s="53" t="str">
        <x:v>Free recall</x:v>
      </x:c>
      <x:c r="B5" s="53" t="str">
        <x:v>After the delay, the participant recalls all six learned images without a visual cue.</x:v>
      </x:c>
    </x:row>
    <x:row r="6" ht="15" hidden="0" customHeight="1">
      <x:c r="A6" s="53" t="str">
        <x:v>Cued recall</x:v>
      </x:c>
      <x:c r="B6" s="53" t="str">
        <x:v>The 03 image is shown as the cue for each learned association.</x:v>
      </x:c>
    </x:row>
    <x:row r="7" ht="15" hidden="0" customHeight="1">
      <x:c r="A7" s="53" t="str">
        <x:v>Forced choice</x:v>
      </x:c>
      <x:c r="B7" s="53" t="str">
        <x:v>Five images are shown: the correct 01 image plus all four 04 distractors.</x:v>
      </x:c>
    </x:row>
    <x:row r="8" ht="15" hidden="0" customHeight="1">
      <x:c r="A8" s="53" t="str">
        <x:v>Monthly set</x:v>
      </x:c>
      <x:c r="B8" s="53" t="str">
        <x:v>Six trials are assigned to each month.</x:v>
      </x:c>
    </x:row>
    <x:row r="9" ht="15" hidden="0" customHeight="1">
      <x:c r="A9" s="54" t="str">
        <x:v>Current scope</x:v>
      </x:c>
      <x:c r="B9" s="54" t="str">
        <x:v>Months 1–6 are populated; Months 7–12 are reserved for future unique sets.</x:v>
      </x:c>
    </x:row>
    <x:row r="10" ht="15" hidden="0" customHeight="1">
      <x:c r="A10" s="55"/>
      <x:c r="B10" s="55"/>
    </x:row>
    <x:row r="11" ht="15" hidden="0" customHeight="1">
      <x:c r="A11" s="52" t="str">
        <x:v>File rule</x:v>
      </x:c>
      <x:c r="B11" s="52" t="str">
        <x:v>Requirement</x:v>
      </x:c>
    </x:row>
    <x:row r="12" ht="15" hidden="0" customHeight="1">
      <x:c r="A12" s="53" t="str">
        <x:v>01</x:v>
      </x:c>
      <x:c r="B12" s="53" t="str">
        <x:v>Exactly one primary/correct image per trial folder.</x:v>
      </x:c>
    </x:row>
    <x:row r="13" ht="15" hidden="0" customHeight="1">
      <x:c r="A13" s="53" t="str">
        <x:v>03</x:v>
      </x:c>
      <x:c r="B13" s="53" t="str">
        <x:v>Exactly one cued-recall image per trial folder.</x:v>
      </x:c>
    </x:row>
    <x:row r="14" ht="15" hidden="0" customHeight="1">
      <x:c r="A14" s="53" t="str">
        <x:v>04</x:v>
      </x:c>
      <x:c r="B14" s="53" t="str">
        <x:v>Exactly four forced-choice distractor images per trial folder.</x:v>
      </x:c>
    </x:row>
    <x:row r="15" ht="15" hidden="0" customHeight="1">
      <x:c r="A15" s="53" t="str">
        <x:v>Recognition count</x:v>
      </x:c>
      <x:c r="B15" s="53" t="str">
        <x:v>Exactly five options: 01 + four 04 images.</x:v>
      </x:c>
    </x:row>
    <x:row r="16" ht="15" hidden="0" customHeight="1">
      <x:c r="A16" s="53" t="str">
        <x:v>Source preservation</x:v>
      </x:c>
      <x:c r="B16" s="53" t="str">
        <x:v>Do not alter files in the Desktop source collection; copy prepared derivatives into the repository branch.</x:v>
      </x:c>
    </x:row>
    <x:row r="17" ht="15" hidden="0" customHeight="1">
      <x:c r="A17" s="54" t="str">
        <x:v>Versioning</x:v>
      </x:c>
      <x:c r="B17" s="54" t="str">
        <x:v>Record the stimulus-set version with exported game results before production use.</x:v>
      </x:c>
    </x:row>
    <x:row r="18" ht="15" hidden="0" customHeight="1">
      <x:c r="A18" s="55"/>
      <x:c r="B18" s="55"/>
    </x:row>
    <x:row r="19" ht="15" hidden="0" customHeight="1">
      <x:c r="A19" s="52" t="str">
        <x:v>Expansion item</x:v>
      </x:c>
      <x:c r="B19" s="52" t="str">
        <x:v>Plan</x:v>
      </x:c>
    </x:row>
    <x:row r="20" ht="15" hidden="0" customHeight="1">
      <x:c r="A20" s="53" t="str">
        <x:v>Months 7–12</x:v>
      </x:c>
      <x:c r="B20" s="53" t="str">
        <x:v>Add six new trial folders per month and populate the reserved manifest rows.</x:v>
      </x:c>
    </x:row>
    <x:row r="21" ht="26.399999618530273" hidden="0" customHeight="1">
      <x:c r="A21" s="53" t="str">
        <x:v>Selection logic</x:v>
      </x:c>
      <x:c r="B21" s="53" t="str">
        <x:v>Keep month selection separate from the stimulus registry so calendar-based or study-relative scheduling can be chosen later.</x:v>
      </x:c>
    </x:row>
    <x:row r="22" ht="15" hidden="0" customHeight="1">
      <x:c r="A22" s="54" t="str">
        <x:v>Validation</x:v>
      </x:c>
      <x:c r="B22" s="54" t="str">
        <x:v>Build, visually inspect all phases on a smartphone-size viewport, and stage before merging to protected master.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4" hidden="0" customWidth="1"/>
  </x:cols>
  <x:sheetData>
    <x:row r="1" ht="32" customHeight="1">
      <x:c r="A1" s="59" t="str">
        <x:v>FunnyMemory Manifest Quality Control</x:v>
      </x:c>
      <x:c r="B1" s="59"/>
      <x:c r="C1" s="59"/>
      <x:c r="D1" s="59"/>
    </x:row>
    <x:row r="2">
      <x:c r="A2" s="44"/>
      <x:c r="B2" s="44"/>
      <x:c r="C2" s="44"/>
      <x:c r="D2" s="44"/>
    </x:row>
    <x:row r="3" ht="24" customHeight="1">
      <x:c r="A3" s="45" t="str">
        <x:v>Metric</x:v>
      </x:c>
      <x:c r="B3" s="45" t="str">
        <x:v>Value</x:v>
      </x:c>
      <x:c r="C3" s="44"/>
      <x:c r="D3" s="44"/>
    </x:row>
    <x:row r="4" ht="24" customHeight="1">
      <x:c r="A4" s="46" t="str">
        <x:v>Populated current trials</x:v>
      </x:c>
      <x:c r="B4" s="60" t="n">
        <x:f>COUNTIF('Stimulus Manifest'!M2:M73,"Ready")+COUNTIF('Stimulus Manifest'!M2:M73,"Review")</x:f>
        <x:v>36</x:v>
      </x:c>
      <x:c r="C4" s="44"/>
      <x:c r="D4" s="44"/>
    </x:row>
    <x:row r="5" ht="24" customHeight="1">
      <x:c r="A5" s="46" t="str">
        <x:v>Ready trials</x:v>
      </x:c>
      <x:c r="B5" s="60" t="n">
        <x:f>COUNTIF('Stimulus Manifest'!M2:M73,"Ready")</x:f>
        <x:v>36</x:v>
      </x:c>
      <x:c r="C5" s="44"/>
      <x:c r="D5" s="44"/>
    </x:row>
    <x:row r="6" ht="24" customHeight="1">
      <x:c r="A6" s="46" t="str">
        <x:v>Trials requiring review</x:v>
      </x:c>
      <x:c r="B6" s="60" t="n">
        <x:f>COUNTIF('Stimulus Manifest'!M2:M73,"Review")</x:f>
        <x:v>0</x:v>
      </x:c>
      <x:c r="C6" s="44"/>
      <x:c r="D6" s="44"/>
    </x:row>
    <x:row r="7" ht="24" customHeight="1">
      <x:c r="A7" s="46" t="str">
        <x:v>Reserved future trials</x:v>
      </x:c>
      <x:c r="B7" s="60" t="n">
        <x:f>COUNTIF('Stimulus Manifest'!M2:M73,"Reserved")</x:f>
        <x:v>36</x:v>
      </x:c>
      <x:c r="C7" s="44"/>
      <x:c r="D7" s="44"/>
    </x:row>
    <x:row r="8" ht="24" customHeight="1">
      <x:c r="A8" s="46" t="str">
        <x:v>Expected recognition choices per trial</x:v>
      </x:c>
      <x:c r="B8" s="60" t="n">
        <x:v>5</x:v>
      </x:c>
      <x:c r="C8" s="44"/>
      <x:c r="D8" s="44"/>
    </x:row>
    <x:row r="9" ht="24" customHeight="1">
      <x:c r="A9" s="46" t="str">
        <x:v>Expected files per populated trial</x:v>
      </x:c>
      <x:c r="B9" s="60" t="n">
        <x:v>6</x:v>
      </x:c>
      <x:c r="C9" s="44"/>
      <x:c r="D9" s="44"/>
    </x:row>
    <x:row r="10" ht="24" customHeight="1">
      <x:c r="A10" s="47" t="str">
        <x:v>Total current stimulus files</x:v>
      </x:c>
      <x:c r="B10" s="61" t="n">
        <x:f>SUM('Stimulus Manifest'!L2:L37)</x:f>
        <x:v>216</x:v>
      </x:c>
      <x:c r="C10" s="44"/>
      <x:c r="D10" s="44"/>
    </x:row>
    <x:row r="11" ht="24" customHeight="1">
      <x:c r="A11" s="44"/>
      <x:c r="B11" s="44"/>
      <x:c r="C11" s="44"/>
      <x:c r="D11" s="44"/>
    </x:row>
    <x:row r="12" ht="24" customHeight="1">
      <x:c r="A12" s="45" t="str">
        <x:v>Month</x:v>
      </x:c>
      <x:c r="B12" s="45" t="str">
        <x:v>Ready Trials</x:v>
      </x:c>
      <x:c r="C12" s="45" t="str">
        <x:v>Expected Trials</x:v>
      </x:c>
      <x:c r="D12" s="44"/>
    </x:row>
    <x:row r="13" ht="24" customHeight="1">
      <x:c r="A13" s="46" t="n">
        <x:v>1</x:v>
      </x:c>
      <x:c r="B13" s="46" t="n">
        <x:f>COUNTIFS('Stimulus Manifest'!B2:B73,A13,'Stimulus Manifest'!M2:M73,"Ready")</x:f>
        <x:v>6</x:v>
      </x:c>
      <x:c r="C13" s="46" t="n">
        <x:v>6</x:v>
      </x:c>
      <x:c r="D13" s="44"/>
    </x:row>
    <x:row r="14" ht="24" customHeight="1">
      <x:c r="A14" s="46" t="n">
        <x:v>2</x:v>
      </x:c>
      <x:c r="B14" s="46" t="n">
        <x:f>COUNTIFS('Stimulus Manifest'!B2:B73,A14,'Stimulus Manifest'!M2:M73,"Ready")</x:f>
        <x:v>6</x:v>
      </x:c>
      <x:c r="C14" s="46" t="n">
        <x:v>6</x:v>
      </x:c>
      <x:c r="D14" s="44"/>
    </x:row>
    <x:row r="15" ht="24" customHeight="1">
      <x:c r="A15" s="46" t="n">
        <x:v>3</x:v>
      </x:c>
      <x:c r="B15" s="46" t="n">
        <x:f>COUNTIFS('Stimulus Manifest'!B2:B73,A15,'Stimulus Manifest'!M2:M73,"Ready")</x:f>
        <x:v>6</x:v>
      </x:c>
      <x:c r="C15" s="46" t="n">
        <x:v>6</x:v>
      </x:c>
      <x:c r="D15" s="44"/>
    </x:row>
    <x:row r="16" ht="24" customHeight="1">
      <x:c r="A16" s="46" t="n">
        <x:v>4</x:v>
      </x:c>
      <x:c r="B16" s="46" t="n">
        <x:f>COUNTIFS('Stimulus Manifest'!B2:B73,A16,'Stimulus Manifest'!M2:M73,"Ready")</x:f>
        <x:v>6</x:v>
      </x:c>
      <x:c r="C16" s="46" t="n">
        <x:v>6</x:v>
      </x:c>
      <x:c r="D16" s="44"/>
    </x:row>
    <x:row r="17" ht="24" customHeight="1">
      <x:c r="A17" s="46" t="n">
        <x:v>5</x:v>
      </x:c>
      <x:c r="B17" s="46" t="n">
        <x:f>COUNTIFS('Stimulus Manifest'!B2:B73,A17,'Stimulus Manifest'!M2:M73,"Ready")</x:f>
        <x:v>6</x:v>
      </x:c>
      <x:c r="C17" s="46" t="n">
        <x:v>6</x:v>
      </x:c>
      <x:c r="D17" s="44"/>
    </x:row>
    <x:row r="18" ht="24" customHeight="1">
      <x:c r="A18" s="46" t="n">
        <x:v>6</x:v>
      </x:c>
      <x:c r="B18" s="46" t="n">
        <x:f>COUNTIFS('Stimulus Manifest'!B2:B73,A18,'Stimulus Manifest'!M2:M73,"Ready")</x:f>
        <x:v>6</x:v>
      </x:c>
      <x:c r="C18" s="46" t="n">
        <x:v>6</x:v>
      </x:c>
      <x:c r="D18" s="44"/>
    </x:row>
    <x:row r="19" ht="24" customHeight="1">
      <x:c r="A19" s="62" t="str">
        <x:v>Current total</x:v>
      </x:c>
      <x:c r="B19" s="62" t="n">
        <x:f>SUM(B13:B18)</x:f>
        <x:v>36</x:v>
      </x:c>
      <x:c r="C19" s="62" t="n">
        <x:v>36</x:v>
      </x:c>
      <x:c r="D19" s="44"/>
    </x:row>
  </x:sheetData>
  <x:mergeCells>
    <x:mergeCell ref="A1:D1"/>
  </x:mergeCells>
  <x:pageMargins left="0.7" right="0.7" top="0.75" bottom="0.75" header="0.3" footer="0.3"/>
</x:worksheet>
</file>